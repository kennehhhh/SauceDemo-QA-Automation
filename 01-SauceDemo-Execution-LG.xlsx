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isayang\OneDrive\Documents\GitHub\saucedemo_selenium_core\"/>
    </mc:Choice>
  </mc:AlternateContent>
  <xr:revisionPtr revIDLastSave="0" documentId="13_ncr:1_{56C93CDA-2D32-418D-91CA-37D77FE874D3}" xr6:coauthVersionLast="47" xr6:coauthVersionMax="47" xr10:uidLastSave="{00000000-0000-0000-0000-000000000000}"/>
  <bookViews>
    <workbookView xWindow="-120" yWindow="-120" windowWidth="29040" windowHeight="16440" firstSheet="12" activeTab="16" xr2:uid="{00000000-000D-0000-FFFF-FFFF00000000}"/>
  </bookViews>
  <sheets>
    <sheet name="Document Summary" sheetId="1" r:id="rId1"/>
    <sheet name="Sources &amp; Assumptions" sheetId="2" r:id="rId2"/>
    <sheet name="Login &amp; Session - TC" sheetId="3" r:id="rId3"/>
    <sheet name="Product Listing - TC" sheetId="4" r:id="rId4"/>
    <sheet name="Product Sorting - TC" sheetId="5" r:id="rId5"/>
    <sheet name="Product Detail - TC" sheetId="6" r:id="rId6"/>
    <sheet name="Cart - TC" sheetId="7" r:id="rId7"/>
    <sheet name="Checkout Information - TC" sheetId="8" r:id="rId8"/>
    <sheet name="Checkout Overview - TC" sheetId="9" r:id="rId9"/>
    <sheet name="Order Completion - TC" sheetId="10" r:id="rId10"/>
    <sheet name="Menu Navigation - TC" sheetId="11" r:id="rId11"/>
    <sheet name="Reset App State - TC" sheetId="12" r:id="rId12"/>
    <sheet name="Access Session Control - TC" sheetId="13" r:id="rId13"/>
    <sheet name="Footer External Links - TC" sheetId="14" r:id="rId14"/>
    <sheet name="Interface Responsive - TC" sheetId="15" r:id="rId15"/>
    <sheet name="Core Workflows - TC" sheetId="16" r:id="rId16"/>
    <sheet name="Test Execution Log" sheetId="17" r:id="rId17"/>
    <sheet name="Defect Summary" sheetId="18" r:id="rId18"/>
    <sheet name="Test Case Summary" sheetId="19" r:id="rId19"/>
    <sheet name="Workbook Manual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9" l="1"/>
  <c r="L18" i="19"/>
  <c r="K18" i="19"/>
  <c r="J18" i="19"/>
  <c r="I18" i="19"/>
  <c r="H18" i="19"/>
  <c r="G18" i="19"/>
  <c r="F18" i="19"/>
  <c r="E18" i="19"/>
  <c r="D18" i="19"/>
  <c r="C18" i="19"/>
  <c r="M17" i="19"/>
  <c r="L17" i="19"/>
  <c r="K17" i="19"/>
  <c r="J17" i="19"/>
  <c r="I17" i="19"/>
  <c r="H17" i="19"/>
  <c r="G17" i="19"/>
  <c r="F17" i="19"/>
  <c r="E17" i="19"/>
  <c r="D17" i="19"/>
  <c r="C17" i="19"/>
  <c r="M16" i="19"/>
  <c r="L16" i="19"/>
  <c r="K16" i="19"/>
  <c r="J16" i="19"/>
  <c r="I16" i="19"/>
  <c r="H16" i="19"/>
  <c r="G16" i="19"/>
  <c r="F16" i="19"/>
  <c r="E16" i="19"/>
  <c r="D16" i="19"/>
  <c r="C16" i="19"/>
  <c r="M15" i="19"/>
  <c r="L15" i="19"/>
  <c r="K15" i="19"/>
  <c r="J15" i="19"/>
  <c r="I15" i="19"/>
  <c r="H15" i="19"/>
  <c r="G15" i="19"/>
  <c r="F15" i="19"/>
  <c r="E15" i="19"/>
  <c r="D15" i="19"/>
  <c r="C15" i="19"/>
  <c r="M14" i="19"/>
  <c r="L14" i="19"/>
  <c r="K14" i="19"/>
  <c r="J14" i="19"/>
  <c r="I14" i="19"/>
  <c r="H14" i="19"/>
  <c r="G14" i="19"/>
  <c r="F14" i="19"/>
  <c r="E14" i="19"/>
  <c r="D14" i="19"/>
  <c r="C14" i="19"/>
  <c r="M13" i="19"/>
  <c r="L13" i="19"/>
  <c r="K13" i="19"/>
  <c r="J13" i="19"/>
  <c r="I13" i="19"/>
  <c r="H13" i="19"/>
  <c r="G13" i="19"/>
  <c r="F13" i="19"/>
  <c r="E13" i="19"/>
  <c r="D13" i="19"/>
  <c r="C13" i="19"/>
  <c r="M12" i="19"/>
  <c r="L12" i="19"/>
  <c r="K12" i="19"/>
  <c r="J12" i="19"/>
  <c r="I12" i="19"/>
  <c r="H12" i="19"/>
  <c r="G12" i="19"/>
  <c r="F12" i="19"/>
  <c r="E12" i="19"/>
  <c r="D12" i="19"/>
  <c r="C12" i="19"/>
  <c r="M11" i="19"/>
  <c r="L11" i="19"/>
  <c r="K11" i="19"/>
  <c r="J11" i="19"/>
  <c r="I11" i="19"/>
  <c r="H11" i="19"/>
  <c r="G11" i="19"/>
  <c r="F11" i="19"/>
  <c r="E11" i="19"/>
  <c r="D11" i="19"/>
  <c r="C11" i="19"/>
  <c r="M10" i="19"/>
  <c r="L10" i="19"/>
  <c r="K10" i="19"/>
  <c r="J10" i="19"/>
  <c r="I10" i="19"/>
  <c r="H10" i="19"/>
  <c r="G10" i="19"/>
  <c r="F10" i="19"/>
  <c r="E10" i="19"/>
  <c r="D10" i="19"/>
  <c r="C10" i="19"/>
  <c r="M9" i="19"/>
  <c r="L9" i="19"/>
  <c r="K9" i="19"/>
  <c r="J9" i="19"/>
  <c r="I9" i="19"/>
  <c r="H9" i="19"/>
  <c r="G9" i="19"/>
  <c r="F9" i="19"/>
  <c r="E9" i="19"/>
  <c r="D9" i="19"/>
  <c r="C9" i="19"/>
  <c r="M8" i="19"/>
  <c r="L8" i="19"/>
  <c r="K8" i="19"/>
  <c r="J8" i="19"/>
  <c r="I8" i="19"/>
  <c r="H8" i="19"/>
  <c r="G8" i="19"/>
  <c r="F8" i="19"/>
  <c r="E8" i="19"/>
  <c r="D8" i="19"/>
  <c r="C8" i="19"/>
  <c r="M7" i="19"/>
  <c r="L7" i="19"/>
  <c r="K7" i="19"/>
  <c r="J7" i="19"/>
  <c r="I7" i="19"/>
  <c r="H7" i="19"/>
  <c r="G7" i="19"/>
  <c r="F7" i="19"/>
  <c r="E7" i="19"/>
  <c r="D7" i="19"/>
  <c r="C7" i="19"/>
  <c r="M6" i="19"/>
  <c r="L6" i="19"/>
  <c r="K6" i="19"/>
  <c r="J6" i="19"/>
  <c r="I6" i="19"/>
  <c r="H6" i="19"/>
  <c r="G6" i="19"/>
  <c r="F6" i="19"/>
  <c r="E6" i="19"/>
  <c r="D6" i="19"/>
  <c r="C6" i="19"/>
  <c r="M5" i="19"/>
  <c r="M19" i="19" s="1"/>
  <c r="L5" i="19"/>
  <c r="K5" i="19"/>
  <c r="J5" i="19"/>
  <c r="J19" i="19" s="1"/>
  <c r="I5" i="19"/>
  <c r="H5" i="19"/>
  <c r="H19" i="19" s="1"/>
  <c r="G5" i="19"/>
  <c r="G19" i="19" s="1"/>
  <c r="F5" i="19"/>
  <c r="F19" i="19" s="1"/>
  <c r="E5" i="19"/>
  <c r="E19" i="19" s="1"/>
  <c r="D5" i="19"/>
  <c r="D19" i="19" s="1"/>
  <c r="C5" i="19"/>
  <c r="C19" i="19" s="1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M9" i="18"/>
  <c r="A9" i="18"/>
  <c r="M8" i="18"/>
  <c r="A8" i="18"/>
  <c r="M7" i="18"/>
  <c r="A7" i="18"/>
  <c r="M6" i="18"/>
  <c r="A6" i="18"/>
  <c r="M5" i="18"/>
  <c r="A5" i="18"/>
  <c r="M4" i="18"/>
  <c r="M3" i="18"/>
  <c r="M2" i="18"/>
  <c r="A1004" i="17"/>
  <c r="A1003" i="17"/>
  <c r="A1002" i="17"/>
  <c r="A1001" i="17"/>
  <c r="A1000" i="17"/>
  <c r="A999" i="17"/>
  <c r="A998" i="17"/>
  <c r="A997" i="17"/>
  <c r="A996" i="17"/>
  <c r="A995" i="17"/>
  <c r="A994" i="17"/>
  <c r="A993" i="17"/>
  <c r="A992" i="17"/>
  <c r="A991" i="17"/>
  <c r="A990" i="17"/>
  <c r="A989" i="17"/>
  <c r="A988" i="17"/>
  <c r="A987" i="17"/>
  <c r="A986" i="17"/>
  <c r="A985" i="17"/>
  <c r="A984" i="17"/>
  <c r="A983" i="17"/>
  <c r="A982" i="17"/>
  <c r="A981" i="17"/>
  <c r="A980" i="17"/>
  <c r="A979" i="17"/>
  <c r="A978" i="17"/>
  <c r="A977" i="17"/>
  <c r="A976" i="17"/>
  <c r="A975" i="17"/>
  <c r="A974" i="17"/>
  <c r="A973" i="17"/>
  <c r="A972" i="17"/>
  <c r="A971" i="17"/>
  <c r="A970" i="17"/>
  <c r="A969" i="17"/>
  <c r="A968" i="17"/>
  <c r="A967" i="17"/>
  <c r="A966" i="17"/>
  <c r="A965" i="17"/>
  <c r="A964" i="17"/>
  <c r="A963" i="17"/>
  <c r="A962" i="17"/>
  <c r="A961" i="17"/>
  <c r="A960" i="17"/>
  <c r="A959" i="17"/>
  <c r="A958" i="17"/>
  <c r="A957" i="17"/>
  <c r="A956" i="17"/>
  <c r="A955" i="17"/>
  <c r="A954" i="17"/>
  <c r="A953" i="17"/>
  <c r="A952" i="17"/>
  <c r="A951" i="17"/>
  <c r="A950" i="17"/>
  <c r="A949" i="17"/>
  <c r="A948" i="17"/>
  <c r="A947" i="17"/>
  <c r="A946" i="17"/>
  <c r="A945" i="17"/>
  <c r="A944" i="17"/>
  <c r="A943" i="17"/>
  <c r="A942" i="17"/>
  <c r="A941" i="17"/>
  <c r="A940" i="17"/>
  <c r="A939" i="17"/>
  <c r="A938" i="17"/>
  <c r="A937" i="17"/>
  <c r="A936" i="17"/>
  <c r="A935" i="17"/>
  <c r="A934" i="17"/>
  <c r="A933" i="17"/>
  <c r="A932" i="17"/>
  <c r="A931" i="17"/>
  <c r="A930" i="17"/>
  <c r="A929" i="17"/>
  <c r="A928" i="17"/>
  <c r="A927" i="17"/>
  <c r="A926" i="17"/>
  <c r="A925" i="17"/>
  <c r="A924" i="17"/>
  <c r="A923" i="17"/>
  <c r="A922" i="17"/>
  <c r="A921" i="17"/>
  <c r="A920" i="17"/>
  <c r="A919" i="17"/>
  <c r="A918" i="17"/>
  <c r="A917" i="17"/>
  <c r="A916" i="17"/>
  <c r="A915" i="17"/>
  <c r="A914" i="17"/>
  <c r="A913" i="17"/>
  <c r="A912" i="17"/>
  <c r="A911" i="17"/>
  <c r="A910" i="17"/>
  <c r="A909" i="17"/>
  <c r="A908" i="17"/>
  <c r="A907" i="17"/>
  <c r="A906" i="17"/>
  <c r="A905" i="17"/>
  <c r="A904" i="17"/>
  <c r="A903" i="17"/>
  <c r="A902" i="17"/>
  <c r="A901" i="17"/>
  <c r="A900" i="17"/>
  <c r="A899" i="17"/>
  <c r="A898" i="17"/>
  <c r="A897" i="17"/>
  <c r="A896" i="17"/>
  <c r="A895" i="17"/>
  <c r="A894" i="17"/>
  <c r="A893" i="17"/>
  <c r="A892" i="17"/>
  <c r="A891" i="17"/>
  <c r="A890" i="17"/>
  <c r="A889" i="17"/>
  <c r="A888" i="17"/>
  <c r="A887" i="17"/>
  <c r="A886" i="17"/>
  <c r="A885" i="17"/>
  <c r="A884" i="17"/>
  <c r="A883" i="17"/>
  <c r="A882" i="17"/>
  <c r="A881" i="17"/>
  <c r="A880" i="17"/>
  <c r="A879" i="17"/>
  <c r="A878" i="17"/>
  <c r="A877" i="17"/>
  <c r="A876" i="17"/>
  <c r="A875" i="17"/>
  <c r="A874" i="17"/>
  <c r="A873" i="17"/>
  <c r="A872" i="17"/>
  <c r="A871" i="17"/>
  <c r="A870" i="17"/>
  <c r="A869" i="17"/>
  <c r="A868" i="17"/>
  <c r="A867" i="17"/>
  <c r="A866" i="17"/>
  <c r="A865" i="17"/>
  <c r="A864" i="17"/>
  <c r="A863" i="17"/>
  <c r="A862" i="17"/>
  <c r="A861" i="17"/>
  <c r="A860" i="17"/>
  <c r="A859" i="17"/>
  <c r="A858" i="17"/>
  <c r="A857" i="17"/>
  <c r="A856" i="17"/>
  <c r="A855" i="17"/>
  <c r="A854" i="17"/>
  <c r="A853" i="17"/>
  <c r="A852" i="17"/>
  <c r="A851" i="17"/>
  <c r="A850" i="17"/>
  <c r="A849" i="17"/>
  <c r="A848" i="17"/>
  <c r="A847" i="17"/>
  <c r="A846" i="17"/>
  <c r="A845" i="17"/>
  <c r="A844" i="17"/>
  <c r="A843" i="17"/>
  <c r="A842" i="17"/>
  <c r="A841" i="17"/>
  <c r="A840" i="17"/>
  <c r="A839" i="17"/>
  <c r="A838" i="17"/>
  <c r="A837" i="17"/>
  <c r="A836" i="17"/>
  <c r="A835" i="17"/>
  <c r="A834" i="17"/>
  <c r="A833" i="17"/>
  <c r="A832" i="17"/>
  <c r="A831" i="17"/>
  <c r="A830" i="17"/>
  <c r="A829" i="17"/>
  <c r="A828" i="17"/>
  <c r="A827" i="17"/>
  <c r="A826" i="17"/>
  <c r="A825" i="17"/>
  <c r="A824" i="17"/>
  <c r="A823" i="17"/>
  <c r="A822" i="17"/>
  <c r="A821" i="17"/>
  <c r="A820" i="17"/>
  <c r="A819" i="17"/>
  <c r="A818" i="17"/>
  <c r="A817" i="17"/>
  <c r="A816" i="17"/>
  <c r="A815" i="17"/>
  <c r="A814" i="17"/>
  <c r="A813" i="17"/>
  <c r="A812" i="17"/>
  <c r="A811" i="17"/>
  <c r="A810" i="17"/>
  <c r="A809" i="17"/>
  <c r="A808" i="17"/>
  <c r="A807" i="17"/>
  <c r="A806" i="17"/>
  <c r="A805" i="17"/>
  <c r="A804" i="17"/>
  <c r="A803" i="17"/>
  <c r="A802" i="17"/>
  <c r="A801" i="17"/>
  <c r="A800" i="17"/>
  <c r="A799" i="17"/>
  <c r="A798" i="17"/>
  <c r="A797" i="17"/>
  <c r="A796" i="17"/>
  <c r="A795" i="17"/>
  <c r="A794" i="17"/>
  <c r="A793" i="17"/>
  <c r="A792" i="17"/>
  <c r="A791" i="17"/>
  <c r="A790" i="17"/>
  <c r="A789" i="17"/>
  <c r="A788" i="17"/>
  <c r="A787" i="17"/>
  <c r="A786" i="17"/>
  <c r="A785" i="17"/>
  <c r="A784" i="17"/>
  <c r="A783" i="17"/>
  <c r="A782" i="17"/>
  <c r="A781" i="17"/>
  <c r="A780" i="17"/>
  <c r="A779" i="17"/>
  <c r="A778" i="17"/>
  <c r="A777" i="17"/>
  <c r="A776" i="17"/>
  <c r="A775" i="17"/>
  <c r="A774" i="17"/>
  <c r="A773" i="17"/>
  <c r="A772" i="17"/>
  <c r="A771" i="17"/>
  <c r="A770" i="17"/>
  <c r="A769" i="17"/>
  <c r="A768" i="17"/>
  <c r="A767" i="17"/>
  <c r="A766" i="17"/>
  <c r="A765" i="17"/>
  <c r="A764" i="17"/>
  <c r="A763" i="17"/>
  <c r="A762" i="17"/>
  <c r="A761" i="17"/>
  <c r="A760" i="17"/>
  <c r="A759" i="17"/>
  <c r="A758" i="17"/>
  <c r="A757" i="17"/>
  <c r="A756" i="17"/>
  <c r="A755" i="17"/>
  <c r="A754" i="17"/>
  <c r="A753" i="17"/>
  <c r="A752" i="17"/>
  <c r="A751" i="17"/>
  <c r="A750" i="17"/>
  <c r="A749" i="17"/>
  <c r="A748" i="17"/>
  <c r="A747" i="17"/>
  <c r="A746" i="17"/>
  <c r="A745" i="17"/>
  <c r="A744" i="17"/>
  <c r="A743" i="17"/>
  <c r="A742" i="17"/>
  <c r="A741" i="17"/>
  <c r="A740" i="17"/>
  <c r="A739" i="17"/>
  <c r="A738" i="17"/>
  <c r="A737" i="17"/>
  <c r="A736" i="17"/>
  <c r="A735" i="17"/>
  <c r="A734" i="17"/>
  <c r="A733" i="17"/>
  <c r="A732" i="17"/>
  <c r="A731" i="17"/>
  <c r="A730" i="17"/>
  <c r="A729" i="17"/>
  <c r="A728" i="17"/>
  <c r="A727" i="17"/>
  <c r="A726" i="17"/>
  <c r="A725" i="17"/>
  <c r="A724" i="17"/>
  <c r="A723" i="17"/>
  <c r="A722" i="17"/>
  <c r="A721" i="17"/>
  <c r="A720" i="17"/>
  <c r="A719" i="17"/>
  <c r="A718" i="17"/>
  <c r="A717" i="17"/>
  <c r="A716" i="17"/>
  <c r="A715" i="17"/>
  <c r="A714" i="17"/>
  <c r="A713" i="17"/>
  <c r="A712" i="17"/>
  <c r="A711" i="17"/>
  <c r="A710" i="17"/>
  <c r="A709" i="17"/>
  <c r="A708" i="17"/>
  <c r="A707" i="17"/>
  <c r="A706" i="17"/>
  <c r="A705" i="17"/>
  <c r="A704" i="17"/>
  <c r="A703" i="17"/>
  <c r="A702" i="17"/>
  <c r="A701" i="17"/>
  <c r="A700" i="17"/>
  <c r="A699" i="17"/>
  <c r="A698" i="17"/>
  <c r="A697" i="17"/>
  <c r="A696" i="17"/>
  <c r="A695" i="17"/>
  <c r="A694" i="17"/>
  <c r="A693" i="17"/>
  <c r="A692" i="17"/>
  <c r="A691" i="17"/>
  <c r="A690" i="17"/>
  <c r="A689" i="17"/>
  <c r="A688" i="17"/>
  <c r="A687" i="17"/>
  <c r="A686" i="17"/>
  <c r="A685" i="17"/>
  <c r="A684" i="17"/>
  <c r="A683" i="17"/>
  <c r="A682" i="17"/>
  <c r="A681" i="17"/>
  <c r="A680" i="17"/>
  <c r="A679" i="17"/>
  <c r="A678" i="17"/>
  <c r="A677" i="17"/>
  <c r="A676" i="17"/>
  <c r="A675" i="17"/>
  <c r="A674" i="17"/>
  <c r="A673" i="17"/>
  <c r="A672" i="17"/>
  <c r="A671" i="17"/>
  <c r="A670" i="17"/>
  <c r="A669" i="17"/>
  <c r="A668" i="17"/>
  <c r="A667" i="17"/>
  <c r="A666" i="17"/>
  <c r="A665" i="17"/>
  <c r="A664" i="17"/>
  <c r="A663" i="17"/>
  <c r="A662" i="17"/>
  <c r="A661" i="17"/>
  <c r="A660" i="17"/>
  <c r="A659" i="17"/>
  <c r="A658" i="17"/>
  <c r="A657" i="17"/>
  <c r="A656" i="17"/>
  <c r="A655" i="17"/>
  <c r="A654" i="17"/>
  <c r="A653" i="17"/>
  <c r="A652" i="17"/>
  <c r="A651" i="17"/>
  <c r="A650" i="17"/>
  <c r="A649" i="17"/>
  <c r="A648" i="17"/>
  <c r="A647" i="17"/>
  <c r="A646" i="17"/>
  <c r="A645" i="17"/>
  <c r="A644" i="17"/>
  <c r="A643" i="17"/>
  <c r="A642" i="17"/>
  <c r="A641" i="17"/>
  <c r="A640" i="17"/>
  <c r="A639" i="17"/>
  <c r="A638" i="17"/>
  <c r="A637" i="17"/>
  <c r="A636" i="17"/>
  <c r="A635" i="17"/>
  <c r="A634" i="17"/>
  <c r="A633" i="17"/>
  <c r="A632" i="17"/>
  <c r="A631" i="17"/>
  <c r="A630" i="17"/>
  <c r="A629" i="17"/>
  <c r="A628" i="17"/>
  <c r="A627" i="17"/>
  <c r="A626" i="17"/>
  <c r="A625" i="17"/>
  <c r="A624" i="17"/>
  <c r="A623" i="17"/>
  <c r="A622" i="17"/>
  <c r="A621" i="17"/>
  <c r="A620" i="17"/>
  <c r="A619" i="17"/>
  <c r="A618" i="17"/>
  <c r="A617" i="17"/>
  <c r="A616" i="17"/>
  <c r="A615" i="17"/>
  <c r="A614" i="17"/>
  <c r="A613" i="17"/>
  <c r="A612" i="17"/>
  <c r="A611" i="17"/>
  <c r="A610" i="17"/>
  <c r="A609" i="17"/>
  <c r="A608" i="17"/>
  <c r="A607" i="17"/>
  <c r="A606" i="17"/>
  <c r="A605" i="17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L19" i="19" l="1"/>
  <c r="I19" i="19"/>
  <c r="K19" i="19"/>
</calcChain>
</file>

<file path=xl/sharedStrings.xml><?xml version="1.0" encoding="utf-8"?>
<sst xmlns="http://schemas.openxmlformats.org/spreadsheetml/2006/main" count="3516" uniqueCount="1385">
  <si>
    <t>Test Execution Log</t>
  </si>
  <si>
    <t>Record only actual executions. Use one row per Case ID + Test User + Browser combination that was genuinely executed; do not pre-generate every possible combination.</t>
  </si>
  <si>
    <t>Execution ID</t>
  </si>
  <si>
    <t>Case ID</t>
  </si>
  <si>
    <t>Module</t>
  </si>
  <si>
    <t>Test User</t>
  </si>
  <si>
    <t>Browser</t>
  </si>
  <si>
    <t>Actual Result</t>
  </si>
  <si>
    <t>Status</t>
  </si>
  <si>
    <t>Related Defect ID</t>
  </si>
  <si>
    <t>Tester</t>
  </si>
  <si>
    <t>Execution Date</t>
  </si>
  <si>
    <t>Remarks</t>
  </si>
  <si>
    <t>LG-0020</t>
  </si>
  <si>
    <t>Login &amp; Session</t>
  </si>
  <si>
    <t>N/A</t>
  </si>
  <si>
    <t>Chrome</t>
  </si>
  <si>
    <t>Invalid credentials displayed an error banner: Epic sadface: Username and password do not match any user in this service</t>
  </si>
  <si>
    <t>Passed</t>
  </si>
  <si>
    <t>2026-07-10 18:30:51 +0800</t>
  </si>
  <si>
    <t>Automated by Selenium + pytest; run_id=RUN-20260710T103048-50d927fc; browser_version=149.0.7827.201</t>
  </si>
  <si>
    <t>LG-0021</t>
  </si>
  <si>
    <t>The login error close control dismissed the error banner.</t>
  </si>
  <si>
    <t>2026-07-10 18:31:07 +0800</t>
  </si>
  <si>
    <t>LG-0022</t>
  </si>
  <si>
    <t>After a prior invalid login, valid credentials loaded Products and stale login error was gone.</t>
  </si>
  <si>
    <t>2026-07-10 18:31:25 +0800</t>
  </si>
  <si>
    <t>LG-0001</t>
  </si>
  <si>
    <t>Username input was visible on the login form.</t>
  </si>
  <si>
    <t>2026-07-10 18:31:28 +0800</t>
  </si>
  <si>
    <t>LG-0002</t>
  </si>
  <si>
    <t>Password input was visible on the login form.</t>
  </si>
  <si>
    <t>2026-07-10 18:31:32 +0800</t>
  </si>
  <si>
    <t>LG-0003</t>
  </si>
  <si>
    <t>Login button was visible on the login form.</t>
  </si>
  <si>
    <t>2026-07-10 18:31:36 +0800</t>
  </si>
  <si>
    <t>LG-0004</t>
  </si>
  <si>
    <t>Username input was enabled and accepted typed text.</t>
  </si>
  <si>
    <t>2026-07-10 18:31:53 +0800</t>
  </si>
  <si>
    <t>LG-0005</t>
  </si>
  <si>
    <t>Password input was enabled and accepted typed text.</t>
  </si>
  <si>
    <t>2026-07-10 18:32:11 +0800</t>
  </si>
  <si>
    <t>LG-0006</t>
  </si>
  <si>
    <t>Password input used type=password after entering the test password.</t>
  </si>
  <si>
    <t>2026-07-10 18:32:15 +0800</t>
  </si>
  <si>
    <t>LG-0007</t>
  </si>
  <si>
    <t>Pressing Enter from the password field submitted valid credentials and loaded Products.</t>
  </si>
  <si>
    <t>2026-07-10 18:32:18 +0800</t>
  </si>
  <si>
    <t>LG-0008</t>
  </si>
  <si>
    <t>Pressing Enter with empty fields produced message: Epic sadface: Username is required</t>
  </si>
  <si>
    <t>2026-07-10 18:32:22 +0800</t>
  </si>
  <si>
    <t>LG-0009</t>
  </si>
  <si>
    <t>Login was rejected for empty credentials. Observed message: Epic sadface: Username is required</t>
  </si>
  <si>
    <t>2026-07-10 18:32:26 +0800</t>
  </si>
  <si>
    <t>LG-0010</t>
  </si>
  <si>
    <t>Login was rejected when username was empty and password was populated. Observed message: Epic sadface: Username is required</t>
  </si>
  <si>
    <t>2026-07-10 18:32:43 +0800</t>
  </si>
  <si>
    <t>LG-0011</t>
  </si>
  <si>
    <t>Login was rejected when username was populated and password was empty. Observed message: Epic sadface: Password is required</t>
  </si>
  <si>
    <t>2026-07-10 18:32:47 +0800</t>
  </si>
  <si>
    <t>LG-0012</t>
  </si>
  <si>
    <t>Login was rejected for an unknown username. Observed message: Epic sadface: Username and password do not match any user in this service</t>
  </si>
  <si>
    <t>2026-07-10 18:32:51 +0800</t>
  </si>
  <si>
    <t>LG-0013</t>
  </si>
  <si>
    <t>Login was rejected for an invalid password. Observed message: Epic sadface: Username and password do not match any user in this service</t>
  </si>
  <si>
    <t>2026-07-10 18:32:55 +0800</t>
  </si>
  <si>
    <t>LG-0014</t>
  </si>
  <si>
    <t>Login was rejected for invalid username and password. Observed message: Epic sadface: Username and password do not match any user in this service</t>
  </si>
  <si>
    <t>2026-07-10 18:32:59 +0800</t>
  </si>
  <si>
    <t>LG-0016</t>
  </si>
  <si>
    <t>Login was rejected for a whitespace-only username. Observed message: Epic sadface: Username and password do not match any user in this service</t>
  </si>
  <si>
    <t>2026-07-10 18:33:02 +0800</t>
  </si>
  <si>
    <t>LG-0017</t>
  </si>
  <si>
    <t>Login was rejected for a whitespace-only password. Observed message: Epic sadface: Username and password do not match any user in this service</t>
  </si>
  <si>
    <t>2026-07-10 18:33:06 +0800</t>
  </si>
  <si>
    <t>LG-0018</t>
  </si>
  <si>
    <t>Login safely rejected a SQL injection-like username. Observed message: Epic sadface: Username and password do not match any user in this service</t>
  </si>
  <si>
    <t>2026-07-10 18:33:10 +0800</t>
  </si>
  <si>
    <t>LG-0019</t>
  </si>
  <si>
    <t>Login safely rejected an XSS-like username. Observed message: Epic sadface: Username and password do not match any user in this service</t>
  </si>
  <si>
    <t>2026-07-10 18:33:13 +0800</t>
  </si>
  <si>
    <t>LG-0015</t>
  </si>
  <si>
    <t>standard_user</t>
  </si>
  <si>
    <t>standard_user logged in successfully and was redirected to /inventory.html Products.</t>
  </si>
  <si>
    <t>2026-07-10 18:33:17 +0800</t>
  </si>
  <si>
    <t>LG-0036</t>
  </si>
  <si>
    <t>Logout option was visible in the menu after standard_user logged in.</t>
  </si>
  <si>
    <t>2026-07-10 18:33:36 +0800</t>
  </si>
  <si>
    <t>LG-0037</t>
  </si>
  <si>
    <t>Logout returned standard_user to the login page.</t>
  </si>
  <si>
    <t>2026-07-10 18:33:40 +0800</t>
  </si>
  <si>
    <t>LG-0038</t>
  </si>
  <si>
    <t>Browser Back after logout did not restore a usable authenticated inventory session.</t>
  </si>
  <si>
    <t>2026-07-10 18:33:45 +0800</t>
  </si>
  <si>
    <t>LG-0039</t>
  </si>
  <si>
    <t>Direct /inventory.html access after logout was blocked with message: Epic sadface: You can only access '/inventory.html' when you are logged in.</t>
  </si>
  <si>
    <t>2026-07-10 18:33:49 +0800</t>
  </si>
  <si>
    <t>LG-0023</t>
  </si>
  <si>
    <t>locked_out_user</t>
  </si>
  <si>
    <t>locked_out_user was blocked with message: Epic sadface: Sorry, this user has been locked out.</t>
  </si>
  <si>
    <t>2026-07-10 18:34:07 +0800</t>
  </si>
  <si>
    <t>LG-0024</t>
  </si>
  <si>
    <t>problem_user</t>
  </si>
  <si>
    <t>problem_user authenticated successfully and reached the Products inventory.</t>
  </si>
  <si>
    <t>2026-07-10 18:34:25 +0800</t>
  </si>
  <si>
    <t>LG-0025</t>
  </si>
  <si>
    <t>performance_glitch_user</t>
  </si>
  <si>
    <t>performance_glitch_user authenticated successfully and reached the Products inventory.</t>
  </si>
  <si>
    <t>2026-07-10 18:34:34 +0800</t>
  </si>
  <si>
    <t>LG-0026</t>
  </si>
  <si>
    <t>error_user</t>
  </si>
  <si>
    <t>error_user authenticated successfully and reached the Products inventory.</t>
  </si>
  <si>
    <t>2026-07-10 18:34:37 +0800</t>
  </si>
  <si>
    <t>LG-0027</t>
  </si>
  <si>
    <t>visual_user</t>
  </si>
  <si>
    <t>visual_user authenticated successfully and reached the Products inventory.</t>
  </si>
  <si>
    <t>2026-07-10 18:34:41 +0800</t>
  </si>
  <si>
    <t>LG-0028</t>
  </si>
  <si>
    <t>Expected workbook behavior was not observed. Observed: No Remember Me control was present on the login form.. Current URL: https://www.saucedemo.com/. Assertion: tests\login\test_standard_expectations.py:22: in test_remember_me_option_is_available     assert exists E   assert False</t>
  </si>
  <si>
    <t>Failed</t>
  </si>
  <si>
    <t>2026-07-10 18:34:45 +0800</t>
  </si>
  <si>
    <t>Automated by Selenium + pytest; run_id=RUN-20260710T103048-50d927fc; browser_version=149.0.7827.201; evidence: C:\Users\Quisayang\OneDrive\Documents\GitHub\saucedemo_selenium_core\artifacts\RUN-20260710T103048-50d927fc\LG-0028_chrome_failure.png</t>
  </si>
  <si>
    <t>LG-0029</t>
  </si>
  <si>
    <t>Expected workbook behavior was not observed. Observed: Remember Me persistence behavior could not be executed because the required Remember Me control was absent.. Current URL: https://www.saucedemo.com/. Assertion: tests\login\test_standard_expectations.py:33: in test_remember_me_persists_login_convenience     raise ExpectationBlocked( E   workbook.expectation_policy.ExpectationBlocked: Remember Me persistence behavior could not be executed because the required Remember Me control was absent.</t>
  </si>
  <si>
    <t>Blocked</t>
  </si>
  <si>
    <t>2026-07-10 18:34:48 +0800</t>
  </si>
  <si>
    <t>Automated by Selenium + pytest; run_id=RUN-20260710T103048-50d927fc; browser_version=149.0.7827.201; evidence: C:\Users\Quisayang\OneDrive\Documents\GitHub\saucedemo_selenium_core\artifacts\RUN-20260710T103048-50d927fc\LG-0029_chrome_failure.png; Blocked by failed prerequisite LG-0028; Standard Expectation; no defect auto-created</t>
  </si>
  <si>
    <t>LG-0030</t>
  </si>
  <si>
    <t>Expected workbook behavior was not observed. Observed: No Forgot Password recovery entry point was present on the login form.. Current URL: https://www.saucedemo.com/. Assertion: tests\login\test_standard_expectations.py:51: in test_forgot_password_recovery_entry_point_is_available     assert exists E   assert False</t>
  </si>
  <si>
    <t>2026-07-10 18:35:05 +0800</t>
  </si>
  <si>
    <t>Automated by Selenium + pytest; run_id=RUN-20260710T103048-50d927fc; browser_version=149.0.7827.201; evidence: C:\Users\Quisayang\OneDrive\Documents\GitHub\saucedemo_selenium_core\artifacts\RUN-20260710T103048-50d927fc\LG-0030_chrome_failure.png</t>
  </si>
  <si>
    <t>LG-0031</t>
  </si>
  <si>
    <t>Expected workbook behavior was not observed. Observed: No Show/Hide Password control was present on the login form.. Current URL: https://www.saucedemo.com/. Assertion: tests\login\test_standard_expectations.py:63: in test_show_hide_password_control_is_available     assert exists E   assert False</t>
  </si>
  <si>
    <t>2026-07-10 18:35:09 +0800</t>
  </si>
  <si>
    <t>Automated by Selenium + pytest; run_id=RUN-20260710T103048-50d927fc; browser_version=149.0.7827.201; evidence: C:\Users\Quisayang\OneDrive\Documents\GitHub\saucedemo_selenium_core\artifacts\RUN-20260710T103048-50d927fc\LG-0031_chrome_failure.png</t>
  </si>
  <si>
    <t>LG-0032</t>
  </si>
  <si>
    <t>Expected workbook behavior was not observed. Observed: Username maxlength attribute was absent; accepted length was 256.. Current URL: https://www.saucedemo.com/. Assertion: tests\login\test_standard_expectations.py:78: in test_username_maximum_length_is_enforced     assert max_length and accepted_length &lt;= int(max_length) &lt; len(payload) E   AssertionError: assert ('')</t>
  </si>
  <si>
    <t>2026-07-10 18:35:27 +0800</t>
  </si>
  <si>
    <t>Automated by Selenium + pytest; run_id=RUN-20260710T103048-50d927fc; browser_version=149.0.7827.201; evidence: C:\Users\Quisayang\OneDrive\Documents\GitHub\saucedemo_selenium_core\artifacts\RUN-20260710T103048-50d927fc\LG-0032_chrome_failure.png</t>
  </si>
  <si>
    <t>LG-0033</t>
  </si>
  <si>
    <t>Expected workbook behavior was not observed. Observed: Password maxlength attribute was absent; accepted length was 256.. Current URL: https://www.saucedemo.com/. Assertion: tests\login\test_standard_expectations.py:93: in test_password_maximum_length_is_enforced     assert max_length and accepted_length &lt;= int(max_length) &lt; len(payload) E   AssertionError: assert ('')</t>
  </si>
  <si>
    <t>2026-07-10 18:35:31 +0800</t>
  </si>
  <si>
    <t>Automated by Selenium + pytest; run_id=RUN-20260710T103048-50d927fc; browser_version=149.0.7827.201; evidence: C:\Users\Quisayang\OneDrive\Documents\GitHub\saucedemo_selenium_core\artifacts\RUN-20260710T103048-50d927fc\LG-0033_chrome_failure.png</t>
  </si>
  <si>
    <t>LG-0034</t>
  </si>
  <si>
    <t>Expected workbook behavior was not observed. Observed: After three invalid login attempts, observed message was: Epic sadface: Username and password do not match any user in this service. Current URL: https://www.saucedemo.com/. Assertion: tests\login\test_standard_expectations.py:114: in test_repeated_failed_logins_are_rate_limited     assert rate_limited E   assert False</t>
  </si>
  <si>
    <t>2026-07-10 18:35:35 +0800</t>
  </si>
  <si>
    <t>Automated by Selenium + pytest; run_id=RUN-20260710T103048-50d927fc; browser_version=149.0.7827.201; evidence: C:\Users\Quisayang\OneDrive\Documents\GitHub\saucedemo_selenium_core\artifacts\RUN-20260710T103048-50d927fc\LG-0034_chrome_failure.png</t>
  </si>
  <si>
    <t>LG-0035</t>
  </si>
  <si>
    <t>Expected workbook behavior was not observed. Observed: After bounded repeated invalid attempts, observed message was: Epic sadface: Username and password do not match any user in this service. Current URL: https://www.saucedemo.com/. Assertion: tests\login\test_standard_expectations.py:127: in test_excessive_failed_attempts_trigger_temporary_protection     assert protected E   assert False</t>
  </si>
  <si>
    <t>2026-07-10 18:35:54 +0800</t>
  </si>
  <si>
    <t>Automated by Selenium + pytest; run_id=RUN-20260710T103048-50d927fc; browser_version=149.0.7827.201; evidence: C:\Users\Quisayang\OneDrive\Documents\GitHub\saucedemo_selenium_core\artifacts\RUN-20260710T103048-50d927fc\LG-0035_chrome_failure.png</t>
  </si>
  <si>
    <t>SAUCEDEMO BASE TEST CASE WORKBOOK</t>
  </si>
  <si>
    <t>System</t>
  </si>
  <si>
    <t>SauceDemo / Swag Labs e-commerce demo system</t>
  </si>
  <si>
    <t>Primary URL</t>
  </si>
  <si>
    <t>https://www.saucedemo.com/</t>
  </si>
  <si>
    <t>Primary Baseline Account</t>
  </si>
  <si>
    <t>standard_user / secret_sauce</t>
  </si>
  <si>
    <t>Test Case Architecture</t>
  </si>
  <si>
    <t>Module sheets define test specifications only. Actual execution outcomes are recorded separately in the Test Execution Log.</t>
  </si>
  <si>
    <t>Required Test Categories</t>
  </si>
  <si>
    <t>Unit, Integration, System, UAT</t>
  </si>
  <si>
    <t>Execution Identity</t>
  </si>
  <si>
    <t>Each execution is identified by Case ID + Test User + Browser. Only combinations actually executed should be logged.</t>
  </si>
  <si>
    <t>Browser Coverage Planning</t>
  </si>
  <si>
    <t>Module sheets specify planned browser coverage using Primary Browser, All Supported Browsers, Representative Cross-Browser, Browser-Specific, or N/A.</t>
  </si>
  <si>
    <t>User Applicability Planning</t>
  </si>
  <si>
    <t>Module sheets specify the intended SauceDemo account or user scope without duplicating test cases.</t>
  </si>
  <si>
    <t>Standard Feature Logic</t>
  </si>
  <si>
    <t>Relevant standard e-commerce/login expectations may be tested even when absent from the current demo; such cases are explicitly marked in Remarks.</t>
  </si>
  <si>
    <t>Scope Boundary</t>
  </si>
  <si>
    <t>Coverage remains tied to login/session, catalog, sorting, product details, cart, checkout, completion, menu/reset, access/session control, footer links, interface/responsiveness, and core workflows.</t>
  </si>
  <si>
    <t>No Payment Scope Expansion</t>
  </si>
  <si>
    <t>The workbook does not invent real payment processing because SauceDemo does not provide a payment-entry module.</t>
  </si>
  <si>
    <t>Committed Test Case Set</t>
  </si>
  <si>
    <t>Standard Expectation Cases</t>
  </si>
  <si>
    <t>Execution Status</t>
  </si>
  <si>
    <t>No execution result is assumed until a row is recorded in Test Execution Log.</t>
  </si>
  <si>
    <t>Defect Rule</t>
  </si>
  <si>
    <t>Log only observed and reproducible mismatches between expected and actual behavior.</t>
  </si>
  <si>
    <t>Prepared By</t>
  </si>
  <si>
    <t>Bon, Gomez, Quisayang</t>
  </si>
  <si>
    <t>TEST CATEGORY DEFINITIONS</t>
  </si>
  <si>
    <t>Unit</t>
  </si>
  <si>
    <t>Smallest meaningful field, rule, control, calculation, or deterministic behavior tested in isolation.</t>
  </si>
  <si>
    <t>Integration</t>
  </si>
  <si>
    <t>Interaction between connected SauceDemo modules, controls, states, or navigation steps.</t>
  </si>
  <si>
    <t>Complete behavior through the running site, including full page behavior, protected navigation, and end-to-end paths.</t>
  </si>
  <si>
    <t>UAT</t>
  </si>
  <si>
    <t>Representative-user task acceptance, clarity, and usability.</t>
  </si>
  <si>
    <t>MODULE CODE LEGEND</t>
  </si>
  <si>
    <t>LG</t>
  </si>
  <si>
    <t>PL</t>
  </si>
  <si>
    <t>Product Listing</t>
  </si>
  <si>
    <t>PS</t>
  </si>
  <si>
    <t>Product Sorting</t>
  </si>
  <si>
    <t>PD</t>
  </si>
  <si>
    <t>Product Detail</t>
  </si>
  <si>
    <t>CT</t>
  </si>
  <si>
    <t>Cart</t>
  </si>
  <si>
    <t>CI</t>
  </si>
  <si>
    <t>Checkout Information</t>
  </si>
  <si>
    <t>CO</t>
  </si>
  <si>
    <t>Checkout Overview</t>
  </si>
  <si>
    <t>OC</t>
  </si>
  <si>
    <t>Order Completion</t>
  </si>
  <si>
    <t>MN</t>
  </si>
  <si>
    <t>Menu &amp; Navigation</t>
  </si>
  <si>
    <t>RS</t>
  </si>
  <si>
    <t>Reset App State</t>
  </si>
  <si>
    <t>AC</t>
  </si>
  <si>
    <t>Access &amp; Session Control</t>
  </si>
  <si>
    <t>FT</t>
  </si>
  <si>
    <t>Footer &amp; External Links</t>
  </si>
  <si>
    <t>UX</t>
  </si>
  <si>
    <t>Interface / Responsive</t>
  </si>
  <si>
    <t>CW</t>
  </si>
  <si>
    <t>Core Workflows</t>
  </si>
  <si>
    <t>Scope Sources and Assumptions</t>
  </si>
  <si>
    <t>Type</t>
  </si>
  <si>
    <t>Source / Reference</t>
  </si>
  <si>
    <t>How Used</t>
  </si>
  <si>
    <t>Notes</t>
  </si>
  <si>
    <t>Live Site</t>
  </si>
  <si>
    <t>Primary execution target and current UI/workflow verification</t>
  </si>
  <si>
    <t>JavaScript application; final behavior must be confirmed during execution.</t>
  </si>
  <si>
    <t>Uploaded Workbook</t>
  </si>
  <si>
    <t>Previous SauceDemo test-case workbook</t>
  </si>
  <si>
    <t>Provided useful prior module ideas and case wording</t>
  </si>
  <si>
    <t>Older execution structure was replaced by specification/execution separation.</t>
  </si>
  <si>
    <t>Uploaded Professor Template</t>
  </si>
  <si>
    <t>Instructor-provided test-case workbook</t>
  </si>
  <si>
    <t>Provided useful academic conventions and examples of standard-feature testing</t>
  </si>
  <si>
    <t>Broken formulas and outdated rows were not copied.</t>
  </si>
  <si>
    <t>Formatting Reference</t>
  </si>
  <si>
    <t>Latest Artifact test-case workbook structure</t>
  </si>
  <si>
    <t>Primary structural and visual reference</t>
  </si>
  <si>
    <t>Module sheets, testing category column, defect tracking, and linked summary logic were adapted.</t>
  </si>
  <si>
    <t>Assumption</t>
  </si>
  <si>
    <t>standard_user is the happy-path baseline</t>
  </si>
  <si>
    <t>Expected normal system behavior</t>
  </si>
  <si>
    <t>Special accounts are compared against this baseline where relevant.</t>
  </si>
  <si>
    <t>Special SauceDemo accounts may intentionally expose anomalies</t>
  </si>
  <si>
    <t>Used for targeted user-specific execution</t>
  </si>
  <si>
    <t>Exact behavior must be recorded rather than guessed.</t>
  </si>
  <si>
    <t>Standard absent features may be tested when tightly adjacent to the module</t>
  </si>
  <si>
    <t>Remember Me, Forgot Password, rate limiting, field limits, product search, quantity controls</t>
  </si>
  <si>
    <t>Cases are explicitly marked in Remarks.</t>
  </si>
  <si>
    <t>Execution Principle</t>
  </si>
  <si>
    <t>No Cartesian product is required</t>
  </si>
  <si>
    <t>Only relevant Case ID + Test User + Browser combinations are executed and logged</t>
  </si>
  <si>
    <t>The Test Execution Log is evidence of actual execution, not a pre-generated matrix.</t>
  </si>
  <si>
    <t>Login &amp; Session Test Cases</t>
  </si>
  <si>
    <t>Module Code: LG</t>
  </si>
  <si>
    <t>Test Category</t>
  </si>
  <si>
    <t>Test Case / Scenario</t>
  </si>
  <si>
    <t>Preconditions</t>
  </si>
  <si>
    <t>Test Data</t>
  </si>
  <si>
    <t>Test Steps</t>
  </si>
  <si>
    <t>Expected Result</t>
  </si>
  <si>
    <t>Applicable User</t>
  </si>
  <si>
    <t>Browser Coverage</t>
  </si>
  <si>
    <t>Automation Candidate</t>
  </si>
  <si>
    <t>Username field is visible</t>
  </si>
  <si>
    <t>Login page open</t>
  </si>
  <si>
    <t>1. Observe login form</t>
  </si>
  <si>
    <t>Username input is visible and identifiable</t>
  </si>
  <si>
    <t>Primary Browser</t>
  </si>
  <si>
    <t>Yes</t>
  </si>
  <si>
    <t>Password field is visible</t>
  </si>
  <si>
    <t>Password input is visible and identifiable</t>
  </si>
  <si>
    <t>Login button is visible</t>
  </si>
  <si>
    <t>Login action is visible</t>
  </si>
  <si>
    <t>Username field is enabled</t>
  </si>
  <si>
    <t>1. Click username
2. Type value</t>
  </si>
  <si>
    <t>Username field accepts input</t>
  </si>
  <si>
    <t>Password field is enabled</t>
  </si>
  <si>
    <t>secret_sauce</t>
  </si>
  <si>
    <t>1. Click password
2. Type value</t>
  </si>
  <si>
    <t>Password field accepts input</t>
  </si>
  <si>
    <t>Password characters are masked</t>
  </si>
  <si>
    <t>1. Enter password
2. Observe characters</t>
  </si>
  <si>
    <t>Password is visually masked</t>
  </si>
  <si>
    <t>Pressing Enter submits valid credentials</t>
  </si>
  <si>
    <t>Valid credentials entered</t>
  </si>
  <si>
    <t>1. Press Enter</t>
  </si>
  <si>
    <t>Login submission occurs</t>
  </si>
  <si>
    <t>Pressing Enter with empty fields triggers validation</t>
  </si>
  <si>
    <t>empty</t>
  </si>
  <si>
    <t>Login is rejected with required-field feedback</t>
  </si>
  <si>
    <t>Reject both credentials empty</t>
  </si>
  <si>
    <t>username=''; password=''</t>
  </si>
  <si>
    <t>1. Enter username
2. Enter password
3. Click Login</t>
  </si>
  <si>
    <t>Username requirement is indicated</t>
  </si>
  <si>
    <t>Reject empty username with valid password</t>
  </si>
  <si>
    <t>username=''; password='secret_sauce'</t>
  </si>
  <si>
    <t>Reject valid username with empty password</t>
  </si>
  <si>
    <t>username='standard_user'; password=''</t>
  </si>
  <si>
    <t>Password requirement is indicated</t>
  </si>
  <si>
    <t>Reject invalid username with valid password</t>
  </si>
  <si>
    <t>username='not_a_user'; password='secret_sauce'</t>
  </si>
  <si>
    <t>Login is rejected with appropriate invalid-credentials feedback</t>
  </si>
  <si>
    <t>Reject valid username with invalid password</t>
  </si>
  <si>
    <t>username='standard_user'; password='wrong_password'</t>
  </si>
  <si>
    <t>Reject invalid username and invalid password</t>
  </si>
  <si>
    <t>username='bad_user'; password='bad_pass'</t>
  </si>
  <si>
    <t>Login is rejected</t>
  </si>
  <si>
    <t>Accept standard_user credentials</t>
  </si>
  <si>
    <t>username='standard_user'; password='secret_sauce'</t>
  </si>
  <si>
    <t>User is redirected to the Products inventory</t>
  </si>
  <si>
    <t>All Supported Browsers</t>
  </si>
  <si>
    <t>Whitespace-only username</t>
  </si>
  <si>
    <t>username=   ; password=secret_sauce</t>
  </si>
  <si>
    <t>1. Enter test values
2. Click Login</t>
  </si>
  <si>
    <t>Login is rejected as missing/invalid username</t>
  </si>
  <si>
    <t>Whitespace-only password</t>
  </si>
  <si>
    <t xml:space="preserve">username=standard_user; password=   </t>
  </si>
  <si>
    <t>Login is rejected as missing/invalid password</t>
  </si>
  <si>
    <t>Handle SQL injection-like username safely</t>
  </si>
  <si>
    <t>username=' OR '1'='1; password=secret_sauce</t>
  </si>
  <si>
    <t>1. Enter payload
2. Click Login</t>
  </si>
  <si>
    <t>Login is rejected; payload is not executed and page remains stable</t>
  </si>
  <si>
    <t>Handle XSS-like username safely</t>
  </si>
  <si>
    <t>username=&lt;script&gt;alert(1)&lt;/script&gt;; password=secret_sauce</t>
  </si>
  <si>
    <t>Display login error message after invalid credentials</t>
  </si>
  <si>
    <t>invalid then valid credentials</t>
  </si>
  <si>
    <t>1. Enter invalid credentials
2. Click Login</t>
  </si>
  <si>
    <t>An error message is displayed</t>
  </si>
  <si>
    <t>Candidate</t>
  </si>
  <si>
    <t>Error close control dismisses message when available</t>
  </si>
  <si>
    <t>1. Trigger error
2. Click close icon</t>
  </si>
  <si>
    <t>Error banner is dismissed without clearing unrelated state unexpectedly</t>
  </si>
  <si>
    <t>New successful login clears prior error state</t>
  </si>
  <si>
    <t>1. Trigger invalid login
2. Enter valid credentials
3. Submit</t>
  </si>
  <si>
    <t>User logs in and stale error is no longer displayed</t>
  </si>
  <si>
    <t>Authenticate with locked_out_user</t>
  </si>
  <si>
    <t>locked_out_user / secret_sauce</t>
  </si>
  <si>
    <t>1. Enter credentials
2. Click Login</t>
  </si>
  <si>
    <t>Login is rejected with locked-out-user feedback</t>
  </si>
  <si>
    <t>Special SauceDemo test account behavior; compare against standard_user baseline.</t>
  </si>
  <si>
    <t>Authenticate with problem_user</t>
  </si>
  <si>
    <t>problem_user / secret_sauce</t>
  </si>
  <si>
    <t>User can authenticate; subsequent known anomalous behavior is tested in relevant modules</t>
  </si>
  <si>
    <t>Authenticate with performance_glitch_user</t>
  </si>
  <si>
    <t>performance_glitch_user / secret_sauce</t>
  </si>
  <si>
    <t>User can authenticate; performance delay is observed without incorrect final navigation</t>
  </si>
  <si>
    <t>Authenticate with error_user</t>
  </si>
  <si>
    <t>error_user / secret_sauce</t>
  </si>
  <si>
    <t>User can authenticate; error-specific behavior is exercised in downstream modules</t>
  </si>
  <si>
    <t>Authenticate with visual_user</t>
  </si>
  <si>
    <t>visual_user / secret_sauce</t>
  </si>
  <si>
    <t>User can authenticate; visual discrepancies are exercised in UI modules</t>
  </si>
  <si>
    <t>Remember Me option is available</t>
  </si>
  <si>
    <t>1. Inspect login form</t>
  </si>
  <si>
    <t>A Remember Me control is available to preserve opted-in username/session behavior</t>
  </si>
  <si>
    <t>Standard feature expectation; may expose an absent capability in the current demo.</t>
  </si>
  <si>
    <t>Remember Me persists intended login convenience</t>
  </si>
  <si>
    <t>Remember Me exists</t>
  </si>
  <si>
    <t>valid credentials</t>
  </si>
  <si>
    <t>1. Select Remember Me
2. Login
3. Close/reopen browser as appropriate</t>
  </si>
  <si>
    <t>Documented remembered state is preserved without exposing plaintext password</t>
  </si>
  <si>
    <t>Forgot Password recovery entry point is available</t>
  </si>
  <si>
    <t>1. Inspect login page</t>
  </si>
  <si>
    <t>A recovery path is available</t>
  </si>
  <si>
    <t>Show/Hide Password control is available</t>
  </si>
  <si>
    <t>1. Enter password
2. Toggle visibility</t>
  </si>
  <si>
    <t>Password visibility changes only on explicit user action</t>
  </si>
  <si>
    <t>Username maximum length is enforced</t>
  </si>
  <si>
    <t>256-character username</t>
  </si>
  <si>
    <t>1. Paste long input</t>
  </si>
  <si>
    <t>Field enforces a defined maximum or safely constrains input</t>
  </si>
  <si>
    <t>Password maximum length is enforced</t>
  </si>
  <si>
    <t>256-character password</t>
  </si>
  <si>
    <t>Repeated failed logins are rate-limited</t>
  </si>
  <si>
    <t>invalid credentials repeated</t>
  </si>
  <si>
    <t>1. Submit repeated invalid attempts rapidly</t>
  </si>
  <si>
    <t>System applies throttling, delay, challenge, or equivalent abuse protection</t>
  </si>
  <si>
    <t>Standard login/security expectation; included even if not explicitly implemented.</t>
  </si>
  <si>
    <t>Excessive failed attempts trigger temporary protection</t>
  </si>
  <si>
    <t>many invalid attempts</t>
  </si>
  <si>
    <t>1. Repeat invalid login beyond policy threshold</t>
  </si>
  <si>
    <t>System protects against brute-force attempts without permanent denial of legitimate access</t>
  </si>
  <si>
    <t>Logout option is available after login</t>
  </si>
  <si>
    <t>Logged in as standard_user</t>
  </si>
  <si>
    <t>1. Open side menu</t>
  </si>
  <si>
    <t>Logout option is visible</t>
  </si>
  <si>
    <t>Logout returns user to login page</t>
  </si>
  <si>
    <t>1. Open menu
2. Click Logout</t>
  </si>
  <si>
    <t>Login page is displayed</t>
  </si>
  <si>
    <t>Browser Back after logout does not restore usable authenticated state</t>
  </si>
  <si>
    <t>User logged out</t>
  </si>
  <si>
    <t>1. Press browser Back</t>
  </si>
  <si>
    <t>Protected page is not usable without re-authentication</t>
  </si>
  <si>
    <t>Direct inventory URL after logout is blocked</t>
  </si>
  <si>
    <t>/inventory.html</t>
  </si>
  <si>
    <t>1. Navigate directly</t>
  </si>
  <si>
    <t>User is redirected/rejected and protected content is not usable</t>
  </si>
  <si>
    <t>LG-0040</t>
  </si>
  <si>
    <t>Representative user logs in without assistance</t>
  </si>
  <si>
    <t>Representative tester; site available</t>
  </si>
  <si>
    <t>Use standard_user credentials</t>
  </si>
  <si>
    <t>1. Give task without step-by-step coaching
2. Observe completion</t>
  </si>
  <si>
    <t>User completes login and understands success</t>
  </si>
  <si>
    <t>Representative User</t>
  </si>
  <si>
    <t>No</t>
  </si>
  <si>
    <t>Product Listing Test Cases</t>
  </si>
  <si>
    <t>Module Code: PL</t>
  </si>
  <si>
    <t>PL-0001</t>
  </si>
  <si>
    <t>Products heading is displayed</t>
  </si>
  <si>
    <t>1. Observe inventory</t>
  </si>
  <si>
    <t>Products heading is visible</t>
  </si>
  <si>
    <t>PL-0002</t>
  </si>
  <si>
    <t>Inventory list is displayed</t>
  </si>
  <si>
    <t>Logged in</t>
  </si>
  <si>
    <t>Product list container is visible</t>
  </si>
  <si>
    <t>PL-0003</t>
  </si>
  <si>
    <t>Each product card shows name</t>
  </si>
  <si>
    <t>Inventory loaded</t>
  </si>
  <si>
    <t>All displayed products</t>
  </si>
  <si>
    <t>1. Inspect cards</t>
  </si>
  <si>
    <t>Each card has a non-empty product name</t>
  </si>
  <si>
    <t>PL-0004</t>
  </si>
  <si>
    <t>Each product card shows description</t>
  </si>
  <si>
    <t>Each card has a description</t>
  </si>
  <si>
    <t>PL-0005</t>
  </si>
  <si>
    <t>Each product card shows price</t>
  </si>
  <si>
    <t>Each card shows a valid currency-formatted price</t>
  </si>
  <si>
    <t>PL-0006</t>
  </si>
  <si>
    <t>Each product card shows image</t>
  </si>
  <si>
    <t>Each card displays an image or meaningful fallback</t>
  </si>
  <si>
    <t>PL-0007</t>
  </si>
  <si>
    <t>Each product card shows Add to cart action when not selected</t>
  </si>
  <si>
    <t>No items added</t>
  </si>
  <si>
    <t>All products</t>
  </si>
  <si>
    <t>Each purchasable item shows Add to cart</t>
  </si>
  <si>
    <t>PL-0008</t>
  </si>
  <si>
    <t>Product names are clickable</t>
  </si>
  <si>
    <t>Any product</t>
  </si>
  <si>
    <t>1. Click product name</t>
  </si>
  <si>
    <t>Matching detail page opens</t>
  </si>
  <si>
    <t>PL-0009</t>
  </si>
  <si>
    <t>Product images are clickable when supported</t>
  </si>
  <si>
    <t>1. Click product image</t>
  </si>
  <si>
    <t>Matching detail page opens or click behavior is consistently non-interactive</t>
  </si>
  <si>
    <t>PL-0010</t>
  </si>
  <si>
    <t>Cart icon is visible</t>
  </si>
  <si>
    <t>1. Observe header</t>
  </si>
  <si>
    <t>Cart control is visible</t>
  </si>
  <si>
    <t>PL-0011</t>
  </si>
  <si>
    <t>Display product: Sauce Labs Backpack</t>
  </si>
  <si>
    <t>Expected baseline catalog</t>
  </si>
  <si>
    <t>1. Open Products page
2. Locate product</t>
  </si>
  <si>
    <t>Sauce Labs Backpack is displayed with name, description, price, image, and cart action</t>
  </si>
  <si>
    <t>Observed/current SauceDemo workflow assumption; verify against live site during execution.</t>
  </si>
  <si>
    <t>PL-0012</t>
  </si>
  <si>
    <t>Display product: Test.allTheThings() T-Shirt (Red)</t>
  </si>
  <si>
    <t>Test.allTheThings() T-Shirt (Red) is displayed with name, description, price, image, and cart action</t>
  </si>
  <si>
    <t>PL-0013</t>
  </si>
  <si>
    <t>Add Sauce Labs Backpack from listing updates product control and cart badge</t>
  </si>
  <si>
    <t>Logged in; product not in cart</t>
  </si>
  <si>
    <t>Sauce Labs Backpack</t>
  </si>
  <si>
    <t>1. Locate Sauce Labs Backpack
2. Click Add to cart</t>
  </si>
  <si>
    <t>Button changes to Remove and cart badge increments</t>
  </si>
  <si>
    <t>PL-0014</t>
  </si>
  <si>
    <t>Remove Sauce Labs Backpack from listing updates control and cart badge</t>
  </si>
  <si>
    <t>Product already in cart</t>
  </si>
  <si>
    <t>1. Locate Sauce Labs Backpack
2. Click Remove</t>
  </si>
  <si>
    <t>Button returns to Add to cart and cart badge decrements</t>
  </si>
  <si>
    <t>PL-0015</t>
  </si>
  <si>
    <t>Inventory remains stable after browser refresh</t>
  </si>
  <si>
    <t>Logged in on Products page</t>
  </si>
  <si>
    <t>1. Refresh page</t>
  </si>
  <si>
    <t>Products reload without duplicate cards or broken layout</t>
  </si>
  <si>
    <t>PL-0016</t>
  </si>
  <si>
    <t>Cart badge reflects number of distinct added products</t>
  </si>
  <si>
    <t>Add 3 different products</t>
  </si>
  <si>
    <t>1. Add 3 products</t>
  </si>
  <si>
    <t>Badge displays 3</t>
  </si>
  <si>
    <t>PL-0017</t>
  </si>
  <si>
    <t>Cart badge disappears when cart becomes empty</t>
  </si>
  <si>
    <t>One product in cart</t>
  </si>
  <si>
    <t>1. Remove product</t>
  </si>
  <si>
    <t>Badge is removed or shows empty state consistently</t>
  </si>
  <si>
    <t>PL-0018</t>
  </si>
  <si>
    <t>Adding one product does not alter unrelated product data</t>
  </si>
  <si>
    <t>1. Record another card values
2. Add product</t>
  </si>
  <si>
    <t>Unrelated product name/price/description remain unchanged</t>
  </si>
  <si>
    <t>PL-0019</t>
  </si>
  <si>
    <t>Product prices use consistent currency format</t>
  </si>
  <si>
    <t>1. Inspect prices</t>
  </si>
  <si>
    <t>Prices use consistent dollar/currency formatting</t>
  </si>
  <si>
    <t>PL-0020</t>
  </si>
  <si>
    <t>No duplicate product cards are displayed</t>
  </si>
  <si>
    <t>1. Compare names/identifiers</t>
  </si>
  <si>
    <t>Catalog does not show accidental duplicates</t>
  </si>
  <si>
    <t>PL-0021</t>
  </si>
  <si>
    <t>Product search control is available</t>
  </si>
  <si>
    <t>Search term</t>
  </si>
  <si>
    <t>1. Inspect product discovery controls</t>
  </si>
  <si>
    <t>A search capability is available for locating products</t>
  </si>
  <si>
    <t>PL-0022</t>
  </si>
  <si>
    <t>Search returns matching products</t>
  </si>
  <si>
    <t>Search control exists</t>
  </si>
  <si>
    <t>Backpack</t>
  </si>
  <si>
    <t>1. Search term</t>
  </si>
  <si>
    <t>Only relevant products or clear no-result state is shown</t>
  </si>
  <si>
    <t>PL-0023</t>
  </si>
  <si>
    <t>No-result search state is clear</t>
  </si>
  <si>
    <t>zzzz-no-match</t>
  </si>
  <si>
    <t>Clear no-results feedback is displayed</t>
  </si>
  <si>
    <t>PL-0024</t>
  </si>
  <si>
    <t>User identifies a product from listing</t>
  </si>
  <si>
    <t>Representative user logged in</t>
  </si>
  <si>
    <t>Ask user to find Sauce Labs Backpack</t>
  </si>
  <si>
    <t>1. Give task
2. Observe</t>
  </si>
  <si>
    <t>User locates product without assistance</t>
  </si>
  <si>
    <t>Product Sorting Test Cases</t>
  </si>
  <si>
    <t>Module Code: PS</t>
  </si>
  <si>
    <t>PS-0001</t>
  </si>
  <si>
    <t>Sort dropdown is visible</t>
  </si>
  <si>
    <t>1. Observe sort control</t>
  </si>
  <si>
    <t>Sort dropdown is visible and enabled</t>
  </si>
  <si>
    <t>PS-0002</t>
  </si>
  <si>
    <t>Sort option Name (A to Z) is available</t>
  </si>
  <si>
    <t>Products page loaded</t>
  </si>
  <si>
    <t>Name (A to Z)</t>
  </si>
  <si>
    <t>1. Open sort dropdown</t>
  </si>
  <si>
    <t>Requested option appears</t>
  </si>
  <si>
    <t>PS-0003</t>
  </si>
  <si>
    <t>Apply Name (A to Z) sorting</t>
  </si>
  <si>
    <t>1. Select Name (A to Z)
2. Read resulting order</t>
  </si>
  <si>
    <t>Products are ordered alphabetically ascending</t>
  </si>
  <si>
    <t>PS-0004</t>
  </si>
  <si>
    <t>Sort option Name (Z to A) is available</t>
  </si>
  <si>
    <t>Name (Z to A)</t>
  </si>
  <si>
    <t>PS-0005</t>
  </si>
  <si>
    <t>Apply Name (Z to A) sorting</t>
  </si>
  <si>
    <t>1. Select Name (Z to A)
2. Read resulting order</t>
  </si>
  <si>
    <t>Products are ordered alphabetically descending</t>
  </si>
  <si>
    <t>PS-0006</t>
  </si>
  <si>
    <t>Sort option Price (low to high) is available</t>
  </si>
  <si>
    <t>Price (low to high)</t>
  </si>
  <si>
    <t>PS-0007</t>
  </si>
  <si>
    <t>Apply Price (low to high) sorting</t>
  </si>
  <si>
    <t>1. Select Price (low to high)
2. Read resulting order</t>
  </si>
  <si>
    <t>Products are ordered numerically ascending by price</t>
  </si>
  <si>
    <t>PS-0008</t>
  </si>
  <si>
    <t>Sort option Price (high to low) is available</t>
  </si>
  <si>
    <t>Price (high to low)</t>
  </si>
  <si>
    <t>PS-0009</t>
  </si>
  <si>
    <t>Apply Price (high to low) sorting</t>
  </si>
  <si>
    <t>1. Select Price (high to low)
2. Read resulting order</t>
  </si>
  <si>
    <t>Products are ordered numerically descending by price</t>
  </si>
  <si>
    <t>PS-0010</t>
  </si>
  <si>
    <t>Default sort order is deterministic</t>
  </si>
  <si>
    <t>1. Perform relevant sort interaction</t>
  </si>
  <si>
    <t>Initial product order is consistent on repeated loads</t>
  </si>
  <si>
    <t>PS-0011</t>
  </si>
  <si>
    <t>Changing sort does not alter cart contents</t>
  </si>
  <si>
    <t>Existing cart selections remain unchanged</t>
  </si>
  <si>
    <t>PS-0012</t>
  </si>
  <si>
    <t>Sort remains usable after adding items</t>
  </si>
  <si>
    <t>Dropdown still works and selected cart state remains accurate</t>
  </si>
  <si>
    <t>PS-0013</t>
  </si>
  <si>
    <t>Sort behavior persists or resets deterministically after refresh</t>
  </si>
  <si>
    <t>Products sorted</t>
  </si>
  <si>
    <t>Any option</t>
  </si>
  <si>
    <t>Behavior follows a consistent defined policy without corrupting list</t>
  </si>
  <si>
    <t>PS-0014</t>
  </si>
  <si>
    <t>Representative user sorts by lowest price</t>
  </si>
  <si>
    <t>Task: find cheapest first</t>
  </si>
  <si>
    <t>1. Ask user to sort by low price</t>
  </si>
  <si>
    <t>User completes task and recognizes reordered list</t>
  </si>
  <si>
    <t>Product Detail Test Cases</t>
  </si>
  <si>
    <t>Module Code: PD</t>
  </si>
  <si>
    <t>PD-0001</t>
  </si>
  <si>
    <t>Detail page shows product name</t>
  </si>
  <si>
    <t>Logged in; product detail open</t>
  </si>
  <si>
    <t>1. Inspect detail page</t>
  </si>
  <si>
    <t>Non-empty matching name is displayed</t>
  </si>
  <si>
    <t>PD-0002</t>
  </si>
  <si>
    <t>Detail page shows product description</t>
  </si>
  <si>
    <t>Description is displayed</t>
  </si>
  <si>
    <t>PD-0003</t>
  </si>
  <si>
    <t>Detail page shows product price</t>
  </si>
  <si>
    <t>Price is displayed in valid currency format</t>
  </si>
  <si>
    <t>PD-0004</t>
  </si>
  <si>
    <t>Detail page shows product image</t>
  </si>
  <si>
    <t>Image or meaningful fallback is displayed</t>
  </si>
  <si>
    <t>PD-0005</t>
  </si>
  <si>
    <t>Back to products action is visible</t>
  </si>
  <si>
    <t>Navigation back action is visible</t>
  </si>
  <si>
    <t>PD-0006</t>
  </si>
  <si>
    <t>Add to cart action is visible when product not selected</t>
  </si>
  <si>
    <t>Add action is available</t>
  </si>
  <si>
    <t>PD-0007</t>
  </si>
  <si>
    <t>Open detail page for Sauce Labs Backpack from listing</t>
  </si>
  <si>
    <t>Logged in; Products page loaded</t>
  </si>
  <si>
    <t>1. Click Sauce Labs Backpack name</t>
  </si>
  <si>
    <t>Matching detail page opens with same product identity</t>
  </si>
  <si>
    <t>PD-0008</t>
  </si>
  <si>
    <t>Sauce Labs Backpack detail data matches listing</t>
  </si>
  <si>
    <t>Matching detail page open</t>
  </si>
  <si>
    <t>1. Compare name, price, description with listing</t>
  </si>
  <si>
    <t>Detail values match listing values</t>
  </si>
  <si>
    <t>PD-0009</t>
  </si>
  <si>
    <t>Open detail page for Test.allTheThings() T-Shirt (Red) from listing</t>
  </si>
  <si>
    <t>Test.allTheThings() T-Shirt (Red)</t>
  </si>
  <si>
    <t>1. Click Test.allTheThings() T-Shirt (Red) name</t>
  </si>
  <si>
    <t>PD-0010</t>
  </si>
  <si>
    <t>Test.allTheThings() T-Shirt (Red) detail data matches listing</t>
  </si>
  <si>
    <t>PD-0011</t>
  </si>
  <si>
    <t>Add product from detail updates cart badge</t>
  </si>
  <si>
    <t>Product not in cart</t>
  </si>
  <si>
    <t>1. Click Add to cart</t>
  </si>
  <si>
    <t>Badge increments and action changes to Remove</t>
  </si>
  <si>
    <t>PD-0012</t>
  </si>
  <si>
    <t>Remove product from detail updates cart badge</t>
  </si>
  <si>
    <t>Product in cart</t>
  </si>
  <si>
    <t>1. Click Remove</t>
  </si>
  <si>
    <t>Badge decrements and action changes to Add to cart</t>
  </si>
  <si>
    <t>PD-0013</t>
  </si>
  <si>
    <t>Back to products returns to inventory</t>
  </si>
  <si>
    <t>Detail page open</t>
  </si>
  <si>
    <t>1. Click Back to products</t>
  </si>
  <si>
    <t>Products page opens</t>
  </si>
  <si>
    <t>PD-0014</t>
  </si>
  <si>
    <t>Direct invalid product detail URL is handled</t>
  </si>
  <si>
    <t>Invalid item ID/URL</t>
  </si>
  <si>
    <t>Clear not-found/rejection behavior occurs without crash</t>
  </si>
  <si>
    <t>PD-0015</t>
  </si>
  <si>
    <t>Detail page exposes product quantity selection when expected</t>
  </si>
  <si>
    <t>1. Inspect purchase controls</t>
  </si>
  <si>
    <t>A quantity control is available or absence is documented as a product limitation</t>
  </si>
  <si>
    <t>PD-0016</t>
  </si>
  <si>
    <t>User opens product detail from listing</t>
  </si>
  <si>
    <t>Ask user to inspect one product</t>
  </si>
  <si>
    <t>User reaches matching detail page</t>
  </si>
  <si>
    <t>Cart Test Cases</t>
  </si>
  <si>
    <t>Module Code: CT</t>
  </si>
  <si>
    <t>CT-0001</t>
  </si>
  <si>
    <t>Cart page heading is displayed</t>
  </si>
  <si>
    <t>Logged in; cart page open</t>
  </si>
  <si>
    <t>Cart with at least one item</t>
  </si>
  <si>
    <t>1. Inspect cart</t>
  </si>
  <si>
    <t>Your Cart heading is visible</t>
  </si>
  <si>
    <t>CT-0002</t>
  </si>
  <si>
    <t>Continue Shopping action is visible</t>
  </si>
  <si>
    <t>Continue Shopping control is available</t>
  </si>
  <si>
    <t>CT-0003</t>
  </si>
  <si>
    <t>Checkout action is visible</t>
  </si>
  <si>
    <t>Checkout control is available</t>
  </si>
  <si>
    <t>CT-0004</t>
  </si>
  <si>
    <t>Each cart item shows quantity</t>
  </si>
  <si>
    <t>Quantity is displayed</t>
  </si>
  <si>
    <t>CT-0005</t>
  </si>
  <si>
    <t>Each cart item shows name</t>
  </si>
  <si>
    <t>Product name is displayed</t>
  </si>
  <si>
    <t>CT-0006</t>
  </si>
  <si>
    <t>Each cart item shows description</t>
  </si>
  <si>
    <t>CT-0007</t>
  </si>
  <si>
    <t>Each cart item shows price</t>
  </si>
  <si>
    <t>Price is displayed</t>
  </si>
  <si>
    <t>CT-0008</t>
  </si>
  <si>
    <t>Each cart item shows Remove action</t>
  </si>
  <si>
    <t>Remove control is displayed</t>
  </si>
  <si>
    <t>CT-0009</t>
  </si>
  <si>
    <t>Add Sauce Labs Backpack then verify it appears in cart</t>
  </si>
  <si>
    <t>Logged in; item absent</t>
  </si>
  <si>
    <t>1. Add Sauce Labs Backpack
2. Open cart</t>
  </si>
  <si>
    <t>Sauce Labs Backpack appears with matching price/description</t>
  </si>
  <si>
    <t>CT-0010</t>
  </si>
  <si>
    <t>Remove Sauce Labs Backpack from cart</t>
  </si>
  <si>
    <t>Item present in cart</t>
  </si>
  <si>
    <t>1. Open cart
2. Click Remove for Sauce Labs Backpack</t>
  </si>
  <si>
    <t>Sauce Labs Backpack is removed and badge decrements</t>
  </si>
  <si>
    <t>CT-0011</t>
  </si>
  <si>
    <t>Open empty cart</t>
  </si>
  <si>
    <t>Logged in; no items</t>
  </si>
  <si>
    <t>1. Click cart icon</t>
  </si>
  <si>
    <t>Cart page opens without crash</t>
  </si>
  <si>
    <t>CT-0012</t>
  </si>
  <si>
    <t>Empty cart displays clear empty state</t>
  </si>
  <si>
    <t>1. Open cart</t>
  </si>
  <si>
    <t>User receives clear empty-cart indication or intentionally empty list state</t>
  </si>
  <si>
    <t>CT-0013</t>
  </si>
  <si>
    <t>Multiple distinct items appear once each</t>
  </si>
  <si>
    <t>3 distinct items added</t>
  </si>
  <si>
    <t>3 products</t>
  </si>
  <si>
    <t>All selected products appear once each</t>
  </si>
  <si>
    <t>CT-0014</t>
  </si>
  <si>
    <t>Cart badge equals number of distinct selected products</t>
  </si>
  <si>
    <t>3 items added</t>
  </si>
  <si>
    <t>1. Observe badge</t>
  </si>
  <si>
    <t>Badge shows 3</t>
  </si>
  <si>
    <t>CT-0015</t>
  </si>
  <si>
    <t>Continue Shopping returns to Products page</t>
  </si>
  <si>
    <t>Cart page open</t>
  </si>
  <si>
    <t>1. Click Continue Shopping</t>
  </si>
  <si>
    <t>CT-0016</t>
  </si>
  <si>
    <t>Cart contents persist when returning to Products</t>
  </si>
  <si>
    <t>Items in cart</t>
  </si>
  <si>
    <t>2 products</t>
  </si>
  <si>
    <t>1. Continue Shopping
2. Return to cart</t>
  </si>
  <si>
    <t>Items remain selected</t>
  </si>
  <si>
    <t>CT-0017</t>
  </si>
  <si>
    <t>Removing one of several items preserves others</t>
  </si>
  <si>
    <t>3 items in cart</t>
  </si>
  <si>
    <t>Remove 1</t>
  </si>
  <si>
    <t>1. Remove one item</t>
  </si>
  <si>
    <t>Only chosen item is removed</t>
  </si>
  <si>
    <t>CT-0018</t>
  </si>
  <si>
    <t>Checkout button works with non-empty cart</t>
  </si>
  <si>
    <t>At least 1 item</t>
  </si>
  <si>
    <t>1. Click Checkout</t>
  </si>
  <si>
    <t>Checkout information page opens</t>
  </si>
  <si>
    <t>CT-0019</t>
  </si>
  <si>
    <t>Checkout behavior with empty cart is controlled</t>
  </si>
  <si>
    <t>Cart empty</t>
  </si>
  <si>
    <t>System blocks meaningless checkout or handles it with a clearly defined policy</t>
  </si>
  <si>
    <t>CT-0020</t>
  </si>
  <si>
    <t>Cart supports quantity increase</t>
  </si>
  <si>
    <t>Item in cart</t>
  </si>
  <si>
    <t>quantity 2</t>
  </si>
  <si>
    <t>1. Inspect quantity controls
2. Increase quantity</t>
  </si>
  <si>
    <t>Quantity can be increased and totals/badge update</t>
  </si>
  <si>
    <t>CT-0021</t>
  </si>
  <si>
    <t>User reviews selected items in cart</t>
  </si>
  <si>
    <t>Representative user; relevant cart state</t>
  </si>
  <si>
    <t>Ask user to confirm two added items</t>
  </si>
  <si>
    <t>User identifies both items and prices</t>
  </si>
  <si>
    <t>CT-0022</t>
  </si>
  <si>
    <t>User removes one item from cart</t>
  </si>
  <si>
    <t>Ask user to remove chosen item</t>
  </si>
  <si>
    <t>Only intended item is removed</t>
  </si>
  <si>
    <t>Checkout Information Test Cases</t>
  </si>
  <si>
    <t>Module Code: CI</t>
  </si>
  <si>
    <t>CI-0001</t>
  </si>
  <si>
    <t>First Name field is visible</t>
  </si>
  <si>
    <t>Checkout information page open</t>
  </si>
  <si>
    <t>1. Inspect form</t>
  </si>
  <si>
    <t>CI-0002</t>
  </si>
  <si>
    <t>First Name field accepts input</t>
  </si>
  <si>
    <t>Valid first name</t>
  </si>
  <si>
    <t>1. Enter valid first name</t>
  </si>
  <si>
    <t>First Name accepts input</t>
  </si>
  <si>
    <t>CI-0003</t>
  </si>
  <si>
    <t>Reject missing First Name</t>
  </si>
  <si>
    <t>Other required fields valid; First Name empty</t>
  </si>
  <si>
    <t>1. Fill other fields
2. Leave target empty
3. Click Continue</t>
  </si>
  <si>
    <t>Checkout is blocked and First Name requirement is indicated</t>
  </si>
  <si>
    <t>CI-0004</t>
  </si>
  <si>
    <t>Last Name field is visible</t>
  </si>
  <si>
    <t>CI-0005</t>
  </si>
  <si>
    <t>Last Name field accepts input</t>
  </si>
  <si>
    <t>Valid last name</t>
  </si>
  <si>
    <t>1. Enter valid last name</t>
  </si>
  <si>
    <t>Last Name accepts input</t>
  </si>
  <si>
    <t>CI-0006</t>
  </si>
  <si>
    <t>Reject missing Last Name</t>
  </si>
  <si>
    <t>Other required fields valid; Last Name empty</t>
  </si>
  <si>
    <t>Checkout is blocked and Last Name requirement is indicated</t>
  </si>
  <si>
    <t>CI-0007</t>
  </si>
  <si>
    <t>Postal Code field is visible</t>
  </si>
  <si>
    <t>CI-0008</t>
  </si>
  <si>
    <t>Postal Code field accepts input</t>
  </si>
  <si>
    <t>Valid postal code</t>
  </si>
  <si>
    <t>1. Enter valid postal code</t>
  </si>
  <si>
    <t>Postal Code accepts input</t>
  </si>
  <si>
    <t>CI-0009</t>
  </si>
  <si>
    <t>Reject missing Postal Code</t>
  </si>
  <si>
    <t>Other required fields valid; Postal Code empty</t>
  </si>
  <si>
    <t>Checkout is blocked and Postal Code requirement is indicated</t>
  </si>
  <si>
    <t>CI-0010</t>
  </si>
  <si>
    <t>Continue button is visible</t>
  </si>
  <si>
    <t>Continue action is visible</t>
  </si>
  <si>
    <t>CI-0011</t>
  </si>
  <si>
    <t>Cancel button is visible</t>
  </si>
  <si>
    <t>Cancel action is visible</t>
  </si>
  <si>
    <t>CI-0012</t>
  </si>
  <si>
    <t>Checkout information: All fields empty</t>
  </si>
  <si>
    <t>Cart has at least one item; checkout info open</t>
  </si>
  <si>
    <t>first=''; last=''; postal=''</t>
  </si>
  <si>
    <t>1. Enter values
2. Click Continue</t>
  </si>
  <si>
    <t>First Name requirement is indicated first or all missing fields are clearly identified</t>
  </si>
  <si>
    <t>CI-0013</t>
  </si>
  <si>
    <t>Checkout information: First and last name filled; postal empty</t>
  </si>
  <si>
    <t>first='John'; last='Doe'; postal=''</t>
  </si>
  <si>
    <t>Postal Code requirement is indicated</t>
  </si>
  <si>
    <t>CI-0014</t>
  </si>
  <si>
    <t>Checkout information: First and postal filled; last empty</t>
  </si>
  <si>
    <t>first='John'; last=''; postal='1000'</t>
  </si>
  <si>
    <t>Last Name requirement is indicated</t>
  </si>
  <si>
    <t>CI-0015</t>
  </si>
  <si>
    <t>Checkout information: Last and postal filled; first empty</t>
  </si>
  <si>
    <t>first=''; last='Doe'; postal='1000'</t>
  </si>
  <si>
    <t>First Name requirement is indicated</t>
  </si>
  <si>
    <t>CI-0016</t>
  </si>
  <si>
    <t>Checkout information: All fields valid</t>
  </si>
  <si>
    <t>first='John'; last='Doe'; postal='1000'</t>
  </si>
  <si>
    <t>User advances to Checkout Overview</t>
  </si>
  <si>
    <t>CI-0017</t>
  </si>
  <si>
    <t>First Name handles whitespace only input</t>
  </si>
  <si>
    <t xml:space="preserve">First Name=   </t>
  </si>
  <si>
    <t>1. Enter test value in First Name
2. Fill other fields valid
3. Continue</t>
  </si>
  <si>
    <t>Input is validated according to a defined policy; invalid data is rejected with clear feedback and page does not break</t>
  </si>
  <si>
    <t>CI-0018</t>
  </si>
  <si>
    <t>First Name handles very long input</t>
  </si>
  <si>
    <t>First Name=AAAAAAAAAAAAAAAAAAAAAAAAAAAAAAAAAAAAAAAAAAAAAAAAAAAAAAAAAAAAAAAAAAAAAAAAAAAAAAAAAAAAAAAAAAAAAAAAAAAAAAAAAAAAAAAAAAAAAAAAAAAAAAAAAAAAAAAAAAAAAAAAAAAAAAAAAAAAAAAAAAAAAAAAAAAAAAAAAAAAAAAAAAAAAAAAAAAAAAAAAAAAAAAAAAAAAAAAAAAAAAAAAAAAAAAAAAAAAAAAAAAAAAAAAAAAAAAA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</si>
  <si>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CI-0019</t>
  </si>
  <si>
    <t>Last Name handles apostrophe input</t>
  </si>
  <si>
    <t>Last Name=O'Neil</t>
  </si>
  <si>
    <t>1. Enter test value in Last Name
2. Fill other fields valid
3. Continue</t>
  </si>
  <si>
    <t>CI-0020</t>
  </si>
  <si>
    <t>Postal Code handles whitespace only input</t>
  </si>
  <si>
    <t xml:space="preserve">Postal Code=   </t>
  </si>
  <si>
    <t>1. Enter test value in Postal Code
2. Fill other fields valid
3. Continue</t>
  </si>
  <si>
    <t>CI-0021</t>
  </si>
  <si>
    <t>Postal Code handles alphabetic input</t>
  </si>
  <si>
    <t>Postal Code=ABC</t>
  </si>
  <si>
    <t>CI-0022</t>
  </si>
  <si>
    <t>Postal Code handles very long input</t>
  </si>
  <si>
    <t>Postal Code=9999999999999999999999999999999999999999999999999999999999999999999999999999999999999999999999999999999999999999999999999999999999999999999999999999999999999999999999999999999999999999999999999999999999999999999999999999999999999999999999999999999999999999</t>
  </si>
  <si>
    <t>CI-0023</t>
  </si>
  <si>
    <t>Postal Code maximum length is enforced</t>
  </si>
  <si>
    <t>Checkout information page open; other fields valid</t>
  </si>
  <si>
    <t>256 characters</t>
  </si>
  <si>
    <t>1. Enter test data
2. Click Continue</t>
  </si>
  <si>
    <t>Field constrains input to a defined maximum</t>
  </si>
  <si>
    <t>CI-0024</t>
  </si>
  <si>
    <t>Postal Code format validation is enforced</t>
  </si>
  <si>
    <t>ABC</t>
  </si>
  <si>
    <t>Clearly invalid postal data is rejected under documented locale policy</t>
  </si>
  <si>
    <t>CI-0025</t>
  </si>
  <si>
    <t>Cancel returns to cart</t>
  </si>
  <si>
    <t>1. Click Cancel</t>
  </si>
  <si>
    <t>Cart page opens with items preserved</t>
  </si>
  <si>
    <t>CI-0026</t>
  </si>
  <si>
    <t>Valid information advances to overview</t>
  </si>
  <si>
    <t>Cart has item</t>
  </si>
  <si>
    <t>John / Doe / 1000</t>
  </si>
  <si>
    <t>1. Fill all fields
2. Continue</t>
  </si>
  <si>
    <t>Checkout Overview opens</t>
  </si>
  <si>
    <t>CI-0027</t>
  </si>
  <si>
    <t>User understands required checkout fields</t>
  </si>
  <si>
    <t>Representative user at checkout information</t>
  </si>
  <si>
    <t>Ask user to proceed with one field missing</t>
  </si>
  <si>
    <t>User understands validation feedback</t>
  </si>
  <si>
    <t>Checkout Overview Test Cases</t>
  </si>
  <si>
    <t>Module Code: CO</t>
  </si>
  <si>
    <t>CO-0001</t>
  </si>
  <si>
    <t>Overview heading is displayed</t>
  </si>
  <si>
    <t>Reached Checkout Overview with at least one item</t>
  </si>
  <si>
    <t>1. Inspect overview</t>
  </si>
  <si>
    <t>Checkout: Overview heading is visible</t>
  </si>
  <si>
    <t>CO-0002</t>
  </si>
  <si>
    <t>Each selected item is displayed</t>
  </si>
  <si>
    <t>Selected items appear</t>
  </si>
  <si>
    <t>CO-0003</t>
  </si>
  <si>
    <t>Each selected item shows name</t>
  </si>
  <si>
    <t>Name is visible</t>
  </si>
  <si>
    <t>CO-0004</t>
  </si>
  <si>
    <t>Each selected item shows description</t>
  </si>
  <si>
    <t>Description is visible</t>
  </si>
  <si>
    <t>CO-0005</t>
  </si>
  <si>
    <t>Each selected item shows price</t>
  </si>
  <si>
    <t>Price is visible</t>
  </si>
  <si>
    <t>CO-0006</t>
  </si>
  <si>
    <t>Payment Information section is displayed</t>
  </si>
  <si>
    <t>Payment information is visible</t>
  </si>
  <si>
    <t>CO-0007</t>
  </si>
  <si>
    <t>Shipping Information section is displayed</t>
  </si>
  <si>
    <t>Shipping information is visible</t>
  </si>
  <si>
    <t>CO-0008</t>
  </si>
  <si>
    <t>Price Total section is displayed</t>
  </si>
  <si>
    <t>Price total section is visible</t>
  </si>
  <si>
    <t>CO-0009</t>
  </si>
  <si>
    <t>Finish button is visible</t>
  </si>
  <si>
    <t>Finish action is visible</t>
  </si>
  <si>
    <t>CO-0010</t>
  </si>
  <si>
    <t>CO-0011</t>
  </si>
  <si>
    <t>Item total equals sum of listed item prices</t>
  </si>
  <si>
    <t>Overview open</t>
  </si>
  <si>
    <t>Known cart prices</t>
  </si>
  <si>
    <t>1. Sum item prices
2. Compare item total</t>
  </si>
  <si>
    <t>Displayed item total equals sum of item prices</t>
  </si>
  <si>
    <t>CO-0012</t>
  </si>
  <si>
    <t>Displayed total is mathematically consistent</t>
  </si>
  <si>
    <t>item total + tax</t>
  </si>
  <si>
    <t>1. Read item total
2. Read tax
3. Calculate sum
4. Compare total</t>
  </si>
  <si>
    <t>Displayed total equals item total plus tax</t>
  </si>
  <si>
    <t>CO-0013</t>
  </si>
  <si>
    <t>Single-item overview matches cart</t>
  </si>
  <si>
    <t>One item checked out</t>
  </si>
  <si>
    <t>Known item</t>
  </si>
  <si>
    <t>1. Compare cart and overview</t>
  </si>
  <si>
    <t>Same item, quantity, and price are shown</t>
  </si>
  <si>
    <t>CO-0014</t>
  </si>
  <si>
    <t>Multiple-item overview matches cart</t>
  </si>
  <si>
    <t>Three items checked out</t>
  </si>
  <si>
    <t>3 items</t>
  </si>
  <si>
    <t>All items are represented exactly once</t>
  </si>
  <si>
    <t>CO-0015</t>
  </si>
  <si>
    <t>Finish completes order</t>
  </si>
  <si>
    <t>1. Click Finish</t>
  </si>
  <si>
    <t>Order Completion page opens</t>
  </si>
  <si>
    <t>CO-0016</t>
  </si>
  <si>
    <t>User verifies items before purchase</t>
  </si>
  <si>
    <t>Representative user at overview</t>
  </si>
  <si>
    <t>Ask user to confirm cart contents on overview</t>
  </si>
  <si>
    <t>User identifies all items and prices</t>
  </si>
  <si>
    <t>CO-0017</t>
  </si>
  <si>
    <t>User identifies final total</t>
  </si>
  <si>
    <t>Ask user for amount to be charged</t>
  </si>
  <si>
    <t>User locates total</t>
  </si>
  <si>
    <t>Order Completion Test Cases</t>
  </si>
  <si>
    <t>Module Code: OC</t>
  </si>
  <si>
    <t>OC-0001</t>
  </si>
  <si>
    <t>Completion heading is displayed</t>
  </si>
  <si>
    <t>Order completed</t>
  </si>
  <si>
    <t>1. Inspect completion page</t>
  </si>
  <si>
    <t>Checkout Complete heading is visible</t>
  </si>
  <si>
    <t>OC-0002</t>
  </si>
  <si>
    <t>Success message is displayed</t>
  </si>
  <si>
    <t>Order success confirmation is visible</t>
  </si>
  <si>
    <t>OC-0003</t>
  </si>
  <si>
    <t>Back Home button is visible</t>
  </si>
  <si>
    <t>Back Home action is visible</t>
  </si>
  <si>
    <t>OC-0004</t>
  </si>
  <si>
    <t>Finish navigates to completion page</t>
  </si>
  <si>
    <t>Checkout Overview open</t>
  </si>
  <si>
    <t>Completion page opens</t>
  </si>
  <si>
    <t>OC-0005</t>
  </si>
  <si>
    <t>Back Home returns to Products page</t>
  </si>
  <si>
    <t>Completion page open</t>
  </si>
  <si>
    <t>1. Click Back Home</t>
  </si>
  <si>
    <t>OC-0006</t>
  </si>
  <si>
    <t>Purchased cart badge is cleared after completion</t>
  </si>
  <si>
    <t>Previously selected items</t>
  </si>
  <si>
    <t>1. Observe header/cart</t>
  </si>
  <si>
    <t>Cart badge reflects empty completed state</t>
  </si>
  <si>
    <t>OC-0007</t>
  </si>
  <si>
    <t>Purchased items are not left in cart after completion</t>
  </si>
  <si>
    <t>Completed-order items are not unexpectedly retained</t>
  </si>
  <si>
    <t>OC-0008</t>
  </si>
  <si>
    <t>Refresh completion page does not create another order event</t>
  </si>
  <si>
    <t>1. Refresh</t>
  </si>
  <si>
    <t>No duplicate checkout side effect is created</t>
  </si>
  <si>
    <t>OC-0009</t>
  </si>
  <si>
    <t>User recognizes successful order completion</t>
  </si>
  <si>
    <t>Representative user; completed order</t>
  </si>
  <si>
    <t>Show completion page</t>
  </si>
  <si>
    <t>User understands order flow completed</t>
  </si>
  <si>
    <t>Menu &amp; Navigation Test Cases</t>
  </si>
  <si>
    <t>Module Code: MN</t>
  </si>
  <si>
    <t>MN-0001</t>
  </si>
  <si>
    <t>Burger menu button is visible</t>
  </si>
  <si>
    <t>Menu control is visible</t>
  </si>
  <si>
    <t>MN-0002</t>
  </si>
  <si>
    <t>Burger menu opens</t>
  </si>
  <si>
    <t>1. Click menu</t>
  </si>
  <si>
    <t>Side menu opens</t>
  </si>
  <si>
    <t>MN-0003</t>
  </si>
  <si>
    <t>Close menu control is visible when menu open</t>
  </si>
  <si>
    <t>Menu open</t>
  </si>
  <si>
    <t>1. Inspect menu</t>
  </si>
  <si>
    <t>Close action is visible</t>
  </si>
  <si>
    <t>MN-0004</t>
  </si>
  <si>
    <t>Close menu control closes menu</t>
  </si>
  <si>
    <t>1. Click close</t>
  </si>
  <si>
    <t>Menu closes</t>
  </si>
  <si>
    <t>MN-0005</t>
  </si>
  <si>
    <t>All Items menu item is available</t>
  </si>
  <si>
    <t>All Items option is visible</t>
  </si>
  <si>
    <t>MN-0006</t>
  </si>
  <si>
    <t>All Items menu action works</t>
  </si>
  <si>
    <t>1. Click All Items</t>
  </si>
  <si>
    <t>Returns/navigates to Products inventory</t>
  </si>
  <si>
    <t>MN-0007</t>
  </si>
  <si>
    <t>About menu item is available</t>
  </si>
  <si>
    <t>About option is visible</t>
  </si>
  <si>
    <t>MN-0008</t>
  </si>
  <si>
    <t>About menu action works</t>
  </si>
  <si>
    <t>1. Click About</t>
  </si>
  <si>
    <t>Navigates to intended Sauce Labs external page</t>
  </si>
  <si>
    <t>MN-0009</t>
  </si>
  <si>
    <t>Logout menu item is available</t>
  </si>
  <si>
    <t>MN-0010</t>
  </si>
  <si>
    <t>Logout menu action works</t>
  </si>
  <si>
    <t>1. Click Logout</t>
  </si>
  <si>
    <t>Ends authenticated session and returns to login</t>
  </si>
  <si>
    <t>MN-0011</t>
  </si>
  <si>
    <t>Reset App State menu action works</t>
  </si>
  <si>
    <t>1. Click Reset App State</t>
  </si>
  <si>
    <t>Resets application state according to current demo behavior</t>
  </si>
  <si>
    <t>MN-0012</t>
  </si>
  <si>
    <t>User finds logout from menu</t>
  </si>
  <si>
    <t>Representative logged-in user</t>
  </si>
  <si>
    <t>Ask user to log out</t>
  </si>
  <si>
    <t>User finds menu then Logout</t>
  </si>
  <si>
    <t>Reset App State Test Cases</t>
  </si>
  <si>
    <t>Module Code: RS</t>
  </si>
  <si>
    <t>RS-0001</t>
  </si>
  <si>
    <t>Reset App State option is visible</t>
  </si>
  <si>
    <t>Logged in; menu open</t>
  </si>
  <si>
    <t>RS-0002</t>
  </si>
  <si>
    <t>Reset clears cart badge</t>
  </si>
  <si>
    <t>1. Open menu
2. Click Reset App State</t>
  </si>
  <si>
    <t>Cart badge clears</t>
  </si>
  <si>
    <t>RS-0003</t>
  </si>
  <si>
    <t>Reset clears cart contents</t>
  </si>
  <si>
    <t>1. Reset
2. Open cart</t>
  </si>
  <si>
    <t>Cart is empty</t>
  </si>
  <si>
    <t>RS-0004</t>
  </si>
  <si>
    <t>Reset changes Remove buttons back to Add to cart</t>
  </si>
  <si>
    <t>Items selected</t>
  </si>
  <si>
    <t>1. Reset
2. Inspect Products page</t>
  </si>
  <si>
    <t>Selected product controls return to Add to cart</t>
  </si>
  <si>
    <t>RS-0005</t>
  </si>
  <si>
    <t>Reset can be invoked repeatedly without error</t>
  </si>
  <si>
    <t>1. Reset twice</t>
  </si>
  <si>
    <t>No crash; state remains clean</t>
  </si>
  <si>
    <t>RS-0006</t>
  </si>
  <si>
    <t>Reset does not log user out</t>
  </si>
  <si>
    <t>1. Reset</t>
  </si>
  <si>
    <t>User remains authenticated</t>
  </si>
  <si>
    <t>RS-0007</t>
  </si>
  <si>
    <t>Reset effect persists across navigation</t>
  </si>
  <si>
    <t>State reset</t>
  </si>
  <si>
    <t>1. Navigate Products -&gt; Cart</t>
  </si>
  <si>
    <t>Clean state remains</t>
  </si>
  <si>
    <t>RS-0008</t>
  </si>
  <si>
    <t>User understands Reset App State effect</t>
  </si>
  <si>
    <t>Representative user with items in cart</t>
  </si>
  <si>
    <t>Task: reset app</t>
  </si>
  <si>
    <t>1. Ask user to use reset
2. Observe resulting understanding</t>
  </si>
  <si>
    <t>User recognizes application selections were cleared</t>
  </si>
  <si>
    <t>Access &amp; Session Control Test Cases</t>
  </si>
  <si>
    <t>Module Code: AC</t>
  </si>
  <si>
    <t>AC-0001</t>
  </si>
  <si>
    <t>Unauthenticated access to /inventory.html is blocked</t>
  </si>
  <si>
    <t>Logged out</t>
  </si>
  <si>
    <t>1. Navigate directly to /inventory.html</t>
  </si>
  <si>
    <t>Protected content is not usable; user is redirected or shown authentication error</t>
  </si>
  <si>
    <t>AC-0002</t>
  </si>
  <si>
    <t>Unauthenticated access to /cart.html is blocked</t>
  </si>
  <si>
    <t>/cart.html</t>
  </si>
  <si>
    <t>1. Navigate directly to /cart.html</t>
  </si>
  <si>
    <t>AC-0003</t>
  </si>
  <si>
    <t>Unauthenticated access to /checkout-step-one.html is blocked</t>
  </si>
  <si>
    <t>/checkout-step-one.html</t>
  </si>
  <si>
    <t>1. Navigate directly to /checkout-step-one.html</t>
  </si>
  <si>
    <t>AC-0004</t>
  </si>
  <si>
    <t>Unauthenticated access to /checkout-step-two.html is blocked</t>
  </si>
  <si>
    <t>/checkout-step-two.html</t>
  </si>
  <si>
    <t>1. Navigate directly to /checkout-step-two.html</t>
  </si>
  <si>
    <t>AC-0005</t>
  </si>
  <si>
    <t>Unauthenticated access to /checkout-complete.html is blocked</t>
  </si>
  <si>
    <t>/checkout-complete.html</t>
  </si>
  <si>
    <t>1. Navigate directly to /checkout-complete.html</t>
  </si>
  <si>
    <t>AC-0006</t>
  </si>
  <si>
    <t>Post-logout access to /inventory.html is blocked</t>
  </si>
  <si>
    <t>Login then logout</t>
  </si>
  <si>
    <t>1. Logout
2. Navigate directly to /inventory.html</t>
  </si>
  <si>
    <t>Protected content is not restored without login</t>
  </si>
  <si>
    <t>AC-0007</t>
  </si>
  <si>
    <t>Post-logout access to /cart.html is blocked</t>
  </si>
  <si>
    <t>1. Logout
2. Navigate directly to /cart.html</t>
  </si>
  <si>
    <t>AC-0008</t>
  </si>
  <si>
    <t>Authenticated refresh preserves valid session during active use</t>
  </si>
  <si>
    <t>1. Refresh inventory</t>
  </si>
  <si>
    <t>User remains authenticated according to current session policy</t>
  </si>
  <si>
    <t>AC-0009</t>
  </si>
  <si>
    <t>Opening second tab follows same-session policy consistently</t>
  </si>
  <si>
    <t>Second tab</t>
  </si>
  <si>
    <t>1. Open protected page in second tab</t>
  </si>
  <si>
    <t>Session behavior is consistent and no data leakage occurs</t>
  </si>
  <si>
    <t>AC-0010</t>
  </si>
  <si>
    <t>Logout invalidates current session token/state</t>
  </si>
  <si>
    <t>1. Logout
2. Reuse prior page/session</t>
  </si>
  <si>
    <t>Authenticated operations are not accepted</t>
  </si>
  <si>
    <t>AC-0011</t>
  </si>
  <si>
    <t>Idle session timeout is enforced</t>
  </si>
  <si>
    <t>Logged in and idle</t>
  </si>
  <si>
    <t>Wait policy duration</t>
  </si>
  <si>
    <t>1. Leave session idle</t>
  </si>
  <si>
    <t>Session expires after defined inactivity policy and requires re-login</t>
  </si>
  <si>
    <t>AC-0012</t>
  </si>
  <si>
    <t>Sensitive authenticated pages discourage browser caching after logout</t>
  </si>
  <si>
    <t>1. Use Back/Forward cache</t>
  </si>
  <si>
    <t>Protected content is not exposed as usable private state</t>
  </si>
  <si>
    <t>Footer &amp; External Links Test Cases</t>
  </si>
  <si>
    <t>Module Code: FT</t>
  </si>
  <si>
    <t>FT-0001</t>
  </si>
  <si>
    <t>Twitter footer link is visible when present</t>
  </si>
  <si>
    <t>1. Inspect footer</t>
  </si>
  <si>
    <t>Twitter link/icon is visible or absence is recorded</t>
  </si>
  <si>
    <t>FT-0002</t>
  </si>
  <si>
    <t>Twitter footer link opens intended destination</t>
  </si>
  <si>
    <t>Footer link present</t>
  </si>
  <si>
    <t>1. Click Twitter link</t>
  </si>
  <si>
    <t>Intended Twitter destination opens without breaking current app state</t>
  </si>
  <si>
    <t>FT-0003</t>
  </si>
  <si>
    <t>Facebook footer link is visible when present</t>
  </si>
  <si>
    <t>Facebook link/icon is visible or absence is recorded</t>
  </si>
  <si>
    <t>FT-0004</t>
  </si>
  <si>
    <t>Facebook footer link opens intended destination</t>
  </si>
  <si>
    <t>1. Click Facebook link</t>
  </si>
  <si>
    <t>Intended Facebook destination opens without breaking current app state</t>
  </si>
  <si>
    <t>FT-0005</t>
  </si>
  <si>
    <t>LinkedIn footer link is visible when present</t>
  </si>
  <si>
    <t>LinkedIn link/icon is visible or absence is recorded</t>
  </si>
  <si>
    <t>FT-0006</t>
  </si>
  <si>
    <t>LinkedIn footer link opens intended destination</t>
  </si>
  <si>
    <t>1. Click LinkedIn link</t>
  </si>
  <si>
    <t>Intended LinkedIn destination opens without breaking current app state</t>
  </si>
  <si>
    <t>FT-0007</t>
  </si>
  <si>
    <t>Footer copyright text is visible</t>
  </si>
  <si>
    <t>Copyright text is readable</t>
  </si>
  <si>
    <t>Interface / Responsive Test Cases</t>
  </si>
  <si>
    <t>Module Code: UX</t>
  </si>
  <si>
    <t>UX-0001</t>
  </si>
  <si>
    <t>Login page remains usable at desktop width</t>
  </si>
  <si>
    <t>Relevant page/state available</t>
  </si>
  <si>
    <t>Chrome/Edge/Firefox/Opera representative viewport</t>
  </si>
  <si>
    <t>1. Open target page
2. Resize/zoom/navigate as relevant</t>
  </si>
  <si>
    <t>Login controls are visible and aligned</t>
  </si>
  <si>
    <t>Representative Cross-Browser</t>
  </si>
  <si>
    <t>UX-0002</t>
  </si>
  <si>
    <t>Login page remains usable at narrow mobile width</t>
  </si>
  <si>
    <t>Inputs/button stay within viewport</t>
  </si>
  <si>
    <t>UX-0003</t>
  </si>
  <si>
    <t>Products grid reflows without horizontal page overflow</t>
  </si>
  <si>
    <t>Cards remain readable</t>
  </si>
  <si>
    <t>UX-0004</t>
  </si>
  <si>
    <t>Product card long text stays contained</t>
  </si>
  <si>
    <t>Text does not overlap controls</t>
  </si>
  <si>
    <t>UX-0005</t>
  </si>
  <si>
    <t>Cart layout remains usable on mobile</t>
  </si>
  <si>
    <t>Items/actions remain accessible</t>
  </si>
  <si>
    <t>UX-0006</t>
  </si>
  <si>
    <t>Checkout information form remains usable on mobile</t>
  </si>
  <si>
    <t>Fields/buttons fit viewport</t>
  </si>
  <si>
    <t>UX-0007</t>
  </si>
  <si>
    <t>Checkout overview remains readable on mobile</t>
  </si>
  <si>
    <t>Totals and items remain contained</t>
  </si>
  <si>
    <t>UX-0008</t>
  </si>
  <si>
    <t>Side menu remains operable on mobile</t>
  </si>
  <si>
    <t>Menu items are reachable</t>
  </si>
  <si>
    <t>UX-0009</t>
  </si>
  <si>
    <t>Keyboard focus is visible on interactive controls</t>
  </si>
  <si>
    <t>Focused controls have visible indication</t>
  </si>
  <si>
    <t>UX-0010</t>
  </si>
  <si>
    <t>Buttons do not overlap at 200% browser zoom</t>
  </si>
  <si>
    <t>Core actions remain usable</t>
  </si>
  <si>
    <t>UX-0011</t>
  </si>
  <si>
    <t>Page supports narrow mobile viewport</t>
  </si>
  <si>
    <t>No horizontal overflow at ~375px</t>
  </si>
  <si>
    <t>UX-0012</t>
  </si>
  <si>
    <t>Error messages are understandable</t>
  </si>
  <si>
    <t>Messages describe problem without raw stack traces</t>
  </si>
  <si>
    <t>UX-0013</t>
  </si>
  <si>
    <t>Loading delay for performance_glitch_user gives usable feedback</t>
  </si>
  <si>
    <t>User is not left with indefinite unexplained freeze</t>
  </si>
  <si>
    <t>UX-0014</t>
  </si>
  <si>
    <t>Visual_user discrepancies are captured against standard_user</t>
  </si>
  <si>
    <t>Visual defects are documented precisely</t>
  </si>
  <si>
    <t>UX-0015</t>
  </si>
  <si>
    <t>Login inputs have accessible names</t>
  </si>
  <si>
    <t>Relevant page open</t>
  </si>
  <si>
    <t>Accessibility inspection</t>
  </si>
  <si>
    <t>1. Inspect accessibility tree</t>
  </si>
  <si>
    <t>Screen reader can identify username/password</t>
  </si>
  <si>
    <t>UX-0016</t>
  </si>
  <si>
    <t>User completes purchase flow on desktop without assistance</t>
  </si>
  <si>
    <t>Representative user; relevant viewport</t>
  </si>
  <si>
    <t>Normal purchase task</t>
  </si>
  <si>
    <t>User completes with no blocking confusion</t>
  </si>
  <si>
    <t>Core Workflows Test Cases</t>
  </si>
  <si>
    <t>Module Code: CW</t>
  </si>
  <si>
    <t>CW-0001</t>
  </si>
  <si>
    <t>Successful standard purchase flow</t>
  </si>
  <si>
    <t>Site available; use standard_user</t>
  </si>
  <si>
    <t>1. Login
2. Add one product
3. Open cart
4. Checkout
5. Enter valid info
6. Continue
7. Finish</t>
  </si>
  <si>
    <t>User reaches order completion page</t>
  </si>
  <si>
    <t>CW-0002</t>
  </si>
  <si>
    <t>Multi-item purchase flow</t>
  </si>
  <si>
    <t>1. Login
2. Add three products
3. Open cart
4. Checkout
5. Enter valid info
6. Finish</t>
  </si>
  <si>
    <t>All selected items appear in overview and order completes</t>
  </si>
  <si>
    <t>CW-0003</t>
  </si>
  <si>
    <t>Add then remove before checkout</t>
  </si>
  <si>
    <t>1. Login
2. Add two products
3. Remove one
4. Checkout remaining item</t>
  </si>
  <si>
    <t>Only remaining item is purchased</t>
  </si>
  <si>
    <t>CW-0004</t>
  </si>
  <si>
    <t>Product detail to cart to checkout</t>
  </si>
  <si>
    <t>1. Login
2. Open detail
3. Add item
4. Cart
5. Checkout
6. Finish</t>
  </si>
  <si>
    <t>Flow completes with selected product</t>
  </si>
  <si>
    <t>CW-0005</t>
  </si>
  <si>
    <t>Cancel checkout information and continue shopping</t>
  </si>
  <si>
    <t>1. Add item
2. Checkout
3. Cancel
4. Continue shopping</t>
  </si>
  <si>
    <t>User returns to shopping with cart state preserved</t>
  </si>
  <si>
    <t>CW-0006</t>
  </si>
  <si>
    <t>Cancel checkout overview then return to cart</t>
  </si>
  <si>
    <t>1. Reach overview
2. Cancel
3. Open cart</t>
  </si>
  <si>
    <t>Navigation is consistent and cart state follows defined policy</t>
  </si>
  <si>
    <t>CW-0007</t>
  </si>
  <si>
    <t>Sort then add cheapest product</t>
  </si>
  <si>
    <t>1. Sort low to high
2. Add first item
3. Open cart</t>
  </si>
  <si>
    <t>Cart contains selected cheapest item</t>
  </si>
  <si>
    <t>CW-0008</t>
  </si>
  <si>
    <t>Login success loads product listing</t>
  </si>
  <si>
    <t>Login + Inventory</t>
  </si>
  <si>
    <t>Valid credentials</t>
  </si>
  <si>
    <t>1. Login</t>
  </si>
  <si>
    <t>Inventory module becomes available</t>
  </si>
  <si>
    <t>CW-0009</t>
  </si>
  <si>
    <t>Add from listing updates cart module</t>
  </si>
  <si>
    <t>Inventory + Cart</t>
  </si>
  <si>
    <t>One product</t>
  </si>
  <si>
    <t>1. Add item
2. Open cart</t>
  </si>
  <si>
    <t>Same item appears in cart</t>
  </si>
  <si>
    <t>CW-0010</t>
  </si>
  <si>
    <t>Cart checkout passes item state to checkout info</t>
  </si>
  <si>
    <t>Cart + Checkout Information</t>
  </si>
  <si>
    <t>Checkout info opens with cart state preserved</t>
  </si>
  <si>
    <t>CW-0011</t>
  </si>
  <si>
    <t>Checkout info passes item state to overview</t>
  </si>
  <si>
    <t>Checkout Information + Overview</t>
  </si>
  <si>
    <t>Valid customer fields</t>
  </si>
  <si>
    <t>1. Continue</t>
  </si>
  <si>
    <t>Overview includes same items</t>
  </si>
  <si>
    <t>CW-0012</t>
  </si>
  <si>
    <t>Overview finish passes to completion</t>
  </si>
  <si>
    <t>Overview + Completion</t>
  </si>
  <si>
    <t>Valid order state</t>
  </si>
  <si>
    <t>1. Finish</t>
  </si>
  <si>
    <t>CW-0013</t>
  </si>
  <si>
    <t>Menu logout invalidates protected navigation</t>
  </si>
  <si>
    <t>Menu + Session</t>
  </si>
  <si>
    <t>1. Logout
2. Open protected URL</t>
  </si>
  <si>
    <t>Access is blocked</t>
  </si>
  <si>
    <t>CW-0014</t>
  </si>
  <si>
    <t>User completes first-time purchase without coaching</t>
  </si>
  <si>
    <t>Representative user; standard_user account</t>
  </si>
  <si>
    <t>Buy one item and finish checkout</t>
  </si>
  <si>
    <t>1. Give task only
2. Observe
3. Record hesitation</t>
  </si>
  <si>
    <t>User completes critical flow with no blocking confusion</t>
  </si>
  <si>
    <t>CW-0015</t>
  </si>
  <si>
    <t>User cancels checkout and returns safely</t>
  </si>
  <si>
    <t>Begin checkout then cancel</t>
  </si>
  <si>
    <t>User understands resulting navigation</t>
  </si>
  <si>
    <t>SauceDemo Defect Summary</t>
  </si>
  <si>
    <t>Defect Metrics</t>
  </si>
  <si>
    <t>Log only observed and reproducible defects. A planned negative test or absent standard feature is not automatically a defect until execution confirms a reproducible mismatch.</t>
  </si>
  <si>
    <t>Total Logged</t>
  </si>
  <si>
    <t>Open</t>
  </si>
  <si>
    <t>Defect ID</t>
  </si>
  <si>
    <t>Title</t>
  </si>
  <si>
    <t>Related Test Case ID</t>
  </si>
  <si>
    <t>Severity</t>
  </si>
  <si>
    <t>Steps / Evidence</t>
  </si>
  <si>
    <t>In Progress</t>
  </si>
  <si>
    <t>Resolved</t>
  </si>
  <si>
    <t>Closed</t>
  </si>
  <si>
    <t>Critical</t>
  </si>
  <si>
    <t>High</t>
  </si>
  <si>
    <t>Medium</t>
  </si>
  <si>
    <t>SauceDemo Test Case Summary</t>
  </si>
  <si>
    <t>Specification counts come from module sheets. Execution counts come only from actual rows in Test Execution Log; one case may have multiple executions under different users or browsers.</t>
  </si>
  <si>
    <t>Code</t>
  </si>
  <si>
    <t>Total Cases</t>
  </si>
  <si>
    <t>Standard Expectations</t>
  </si>
  <si>
    <t>Total Executions</t>
  </si>
  <si>
    <t>Passed Exec.</t>
  </si>
  <si>
    <t>Failed Exec.</t>
  </si>
  <si>
    <t>Blocked Exec.</t>
  </si>
  <si>
    <t>Open Defects</t>
  </si>
  <si>
    <t>TOTAL</t>
  </si>
  <si>
    <t>SauceDemo Test Workbook Manual</t>
  </si>
  <si>
    <t>Quick guide for navigating test specifications, planning applicability, recording actual executions, and logging defects.</t>
  </si>
  <si>
    <t>Section</t>
  </si>
  <si>
    <t>Purpose</t>
  </si>
  <si>
    <t>How to Use</t>
  </si>
  <si>
    <t>Important Caveat</t>
  </si>
  <si>
    <t>Document Summary</t>
  </si>
  <si>
    <t>High-level workbook context, testing categories, scope boundaries, and module code legend.</t>
  </si>
  <si>
    <t>Read first to understand the committed test set and execution architecture.</t>
  </si>
  <si>
    <t>The workbook separates test specification from test execution.</t>
  </si>
  <si>
    <t>Sources &amp; Assumptions</t>
  </si>
  <si>
    <t>Explains references, baseline assumptions, special-user handling, and the standard-expectation rule.</t>
  </si>
  <si>
    <t>Consult this sheet when a case seems to cover a special account or a feature not currently present.</t>
  </si>
  <si>
    <t>Live behavior must still be confirmed during execution.</t>
  </si>
  <si>
    <t>Module Test Case Sheets</t>
  </si>
  <si>
    <t>Contain the test specifications grouped by functionality.</t>
  </si>
  <si>
    <t>Use the module sheets to understand what should be tested, with what data, and what result is expected.</t>
  </si>
  <si>
    <t>Do not record Actual Result or Status here; execution evidence belongs in Test Execution Log.</t>
  </si>
  <si>
    <t>Classifies each case as Unit, Integration, System, or UAT.</t>
  </si>
  <si>
    <t>Use the assigned category unless the test design itself is formally changed.</t>
  </si>
  <si>
    <t>Category describes what is validated, not which tool or browser is used.</t>
  </si>
  <si>
    <t>Plans which SauceDemo account or user scope is relevant to the case.</t>
  </si>
  <si>
    <t>Use the listed account, Representative User, Multiple Relevant Users, All Applicable Users, or N/A.</t>
  </si>
  <si>
    <t>Applicability is planning metadata; it does not create execution rows automatically.</t>
  </si>
  <si>
    <t>Plans the intended breadth of browser execution.</t>
  </si>
  <si>
    <t>Use Primary Browser, All Supported Browsers, Representative Cross-Browser, Browser-Specific, or N/A.</t>
  </si>
  <si>
    <t>A coverage label does not mean every test must be multiplied across all browsers.</t>
  </si>
  <si>
    <t>Stores actual test runs and is the authoritative source for Actual Result and Status.</t>
  </si>
  <si>
    <t>Add one row only when a Case ID is genuinely executed under a specific Test User and Browser.</t>
  </si>
  <si>
    <t>Do not pre-generate all Case ID × Test User × Browser combinations.</t>
  </si>
  <si>
    <t>Distinguishes repeat runs of the same specification.</t>
  </si>
  <si>
    <t>Treat each actual run as Case ID + Test User + Browser, with its own result and status.</t>
  </si>
  <si>
    <t>One Case ID may have multiple executions, but only when relevant and actually performed.</t>
  </si>
  <si>
    <t>Identifies the SauceDemo account used during an execution.</t>
  </si>
  <si>
    <t>Choose standard_user, locked_out_user, problem_user, performance_glitch_user, error_user, visual_user, or another listed scope value.</t>
  </si>
  <si>
    <t>Use N/A when account selection is irrelevant.</t>
  </si>
  <si>
    <t>Identifies the browser used for an actual execution.</t>
  </si>
  <si>
    <t>Choose Chrome, Edge, Firefox, Opera, or N/A.</t>
  </si>
  <si>
    <t>Use N/A only when browser context genuinely does not apply.</t>
  </si>
  <si>
    <t>Tests tightly related common functionality even when absent from the current demo.</t>
  </si>
  <si>
    <t>Look for Remarks marked as Standard feature expectation or Standard login/security expectation.</t>
  </si>
  <si>
    <t>Examples include Remember Me, Forgot Password, rate limiting, field limits, product search, and quantity controls.</t>
  </si>
  <si>
    <t>Records the observable outcome of an execution.</t>
  </si>
  <si>
    <t>Write what actually happened in Test Execution Log.</t>
  </si>
  <si>
    <t>Do not copy Expected Result unless that is exactly what was observed.</t>
  </si>
  <si>
    <t>Records the outcome of an actual execution.</t>
  </si>
  <si>
    <t>Use Not Executed, Passed, Failed, Blocked, or Not Applicable.</t>
  </si>
  <si>
    <t>A failed execution is not automatically a confirmed defect until the mismatch is reproducible and reviewed.</t>
  </si>
  <si>
    <t>Defect Summary</t>
  </si>
  <si>
    <t>Tracks observed and reproducible defects.</t>
  </si>
  <si>
    <t>Link each defect to its Related Test Case ID, Test User, and Browser where applicable.</t>
  </si>
  <si>
    <t>A negative test case or absent feature is not itself automatically a defect.</t>
  </si>
  <si>
    <t>Test Case Summary</t>
  </si>
  <si>
    <t>Formula-linked overview of specification coverage, actual executions, and open defects.</t>
  </si>
  <si>
    <t>Use it to compare total cases and categories with execution totals and outcomes.</t>
  </si>
  <si>
    <t>Execution counts may exceed test case counts because one case can be run under multiple relevant combinations.</t>
  </si>
  <si>
    <t>Indicates whether a case may be suitable for automation.</t>
  </si>
  <si>
    <t>Use Yes, No, or Candidate.</t>
  </si>
  <si>
    <t>This is planning metadata and does not claim that automation already exists.</t>
  </si>
  <si>
    <t>SauceDemo Test User Quick Reference</t>
  </si>
  <si>
    <t>Primary Testing Role</t>
  </si>
  <si>
    <t>Typical Use</t>
  </si>
  <si>
    <t>Happy-path baseline</t>
  </si>
  <si>
    <t>Normal login, catalog, cart, checkout, and core workflows</t>
  </si>
  <si>
    <t>Primary expected-behavior reference.</t>
  </si>
  <si>
    <t>Access restriction</t>
  </si>
  <si>
    <t>Login rejection and error handling</t>
  </si>
  <si>
    <t>Expected behavior differs intentionally from standard_user.</t>
  </si>
  <si>
    <t>Functional anomaly persona</t>
  </si>
  <si>
    <t>Targeted product/detail/cart/checkout comparisons</t>
  </si>
  <si>
    <t>Execute only relevant cases; record exact deviations.</t>
  </si>
  <si>
    <t>Performance anomaly persona</t>
  </si>
  <si>
    <t>Login and representative workflow timing/feedback</t>
  </si>
  <si>
    <t>Do not multiply every case across this account.</t>
  </si>
  <si>
    <t>Error anomaly persona</t>
  </si>
  <si>
    <t>Targeted workflows likely to expose error behavior</t>
  </si>
  <si>
    <t>Capture reproducible failures and evidence.</t>
  </si>
  <si>
    <t>Visual anomaly persona</t>
  </si>
  <si>
    <t>UI, responsive, layout, and visual comparison cases</t>
  </si>
  <si>
    <t>Use screenshots where practical.</t>
  </si>
  <si>
    <t>UAT participant scope</t>
  </si>
  <si>
    <t>Usability and task-completion cases</t>
  </si>
  <si>
    <t>Not necessarily a SauceDemo credential identity.</t>
  </si>
  <si>
    <t>Non-account-specific scope</t>
  </si>
  <si>
    <t>Pre-login checks or cases where account choice is irrelevant</t>
  </si>
  <si>
    <t>Use only when account selection genuinely does not apply.</t>
  </si>
  <si>
    <t>Browser Coverage Quick Reference</t>
  </si>
  <si>
    <t>Coverage</t>
  </si>
  <si>
    <t>Meaning</t>
  </si>
  <si>
    <t>Execution Guidance</t>
  </si>
  <si>
    <t>Execute primarily in the team's chosen baseline browser</t>
  </si>
  <si>
    <t>Most field, functional, and targeted special-user cases</t>
  </si>
  <si>
    <t>Repeat elsewhere only when risk or failure justifies it.</t>
  </si>
  <si>
    <t>Execute in Chrome, Edge, Firefox, and Opera</t>
  </si>
  <si>
    <t>Critical login or purchase flows</t>
  </si>
  <si>
    <t>Creates multiple execution rows only for those actual runs.</t>
  </si>
  <si>
    <t>Use a selected browser sample appropriate to the risk</t>
  </si>
  <si>
    <t>Responsive, visual, compatibility-sensitive cases</t>
  </si>
  <si>
    <t>Does not require all browsers for every case.</t>
  </si>
  <si>
    <t>Browser-Specific</t>
  </si>
  <si>
    <t>Run in the browser directly relevant to the scenario</t>
  </si>
  <si>
    <t>Known or suspected browser-specific behavior</t>
  </si>
  <si>
    <t>Record only the targeted browser run(s).</t>
  </si>
  <si>
    <t>Browser context does not apply</t>
  </si>
  <si>
    <t>Rare non-browser-specific planning cases</t>
  </si>
  <si>
    <t>Use sparingly for this web application.</t>
  </si>
  <si>
    <t>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</si>
</sst>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rlito"/>
      <scheme val="minor"/>
    </font>
    <font>
      <b/>
      <sz val="16"/>
      <color rgb="FFF7F7F2"/>
      <name val="Carlito"/>
    </font>
    <font>
      <b/>
      <sz val="11"/>
      <color rgb="FFFFFFFF"/>
      <name val="Carlito"/>
    </font>
    <font>
      <sz val="11"/>
      <color theme="1"/>
      <name val="Carlito"/>
    </font>
    <font>
      <sz val="11"/>
      <color theme="1"/>
      <name val="Carlito"/>
      <scheme val="minor"/>
    </font>
    <font>
      <b/>
      <sz val="11"/>
      <color rgb="FF12141C"/>
      <name val="Carlito"/>
    </font>
    <font>
      <b/>
      <sz val="11"/>
      <color rgb="FFF7F7F2"/>
      <name val="Carlito"/>
    </font>
    <font>
      <b/>
      <sz val="15"/>
      <color rgb="FFF7F7F2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2141C"/>
        <bgColor rgb="FF12141C"/>
      </patternFill>
    </fill>
    <fill>
      <patternFill patternType="solid">
        <fgColor rgb="FFC8102E"/>
        <bgColor rgb="FFC8102E"/>
      </patternFill>
    </fill>
    <fill>
      <patternFill patternType="solid">
        <fgColor rgb="FF07BED5"/>
        <bgColor rgb="FF07BED5"/>
      </patternFill>
    </fill>
    <fill>
      <patternFill patternType="solid">
        <fgColor rgb="FFFFC72C"/>
        <bgColor rgb="FFFFC72C"/>
      </patternFill>
    </fill>
    <fill>
      <patternFill patternType="solid">
        <fgColor rgb="FF242833"/>
        <bgColor rgb="FF2428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5" borderId="0" xfId="0" applyFont="1" applyFill="1"/>
    <xf numFmtId="0" fontId="6" fillId="6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/>
    </xf>
    <xf numFmtId="0" fontId="0" fillId="0" borderId="0" xfId="0"/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6" borderId="0" xfId="0" applyFont="1" applyFill="1"/>
    <xf numFmtId="0" fontId="5" fillId="5" borderId="0" xfId="0" applyFont="1" applyFill="1"/>
  </cellXfs>
  <cellStyles count="1">
    <cellStyle name="Normal" xfId="0" builtinId="0"/>
  </cellStyles>
  <dxfs count="62"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595959"/>
      </font>
      <fill>
        <patternFill patternType="solid">
          <fgColor rgb="FFE7E6E6"/>
          <bgColor rgb="FFE7E6E6"/>
        </patternFill>
      </fill>
    </dxf>
    <dxf>
      <font>
        <b/>
        <color rgb="FFB45F06"/>
      </font>
      <fill>
        <patternFill patternType="solid">
          <fgColor rgb="FFFCE5CD"/>
          <bgColor rgb="FFFCE5CD"/>
        </patternFill>
      </fill>
    </dxf>
    <dxf>
      <font>
        <b/>
        <color rgb="FF9C0006"/>
      </font>
      <fill>
        <patternFill patternType="solid">
          <fgColor rgb="FFF4CCCC"/>
          <bgColor rgb="FFF4CCCC"/>
        </patternFill>
      </fill>
    </dxf>
    <dxf>
      <font>
        <b/>
        <color rgb="FF375623"/>
      </font>
      <fill>
        <patternFill patternType="solid">
          <fgColor rgb="FFC6E0B4"/>
          <bgColor rgb="FFC6E0B4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375623"/>
      </font>
      <fill>
        <patternFill patternType="solid">
          <fgColor rgb="FFE2F0D9"/>
          <bgColor rgb="FFE2F0D9"/>
        </patternFill>
      </fill>
    </dxf>
    <dxf>
      <font>
        <b/>
        <color rgb="FF1F4E78"/>
      </font>
      <fill>
        <patternFill patternType="solid">
          <fgColor rgb="FFDDEBF7"/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sqref="A1:B1"/>
    </sheetView>
  </sheetViews>
  <sheetFormatPr defaultColWidth="12.625" defaultRowHeight="15" customHeight="1"/>
  <cols>
    <col min="1" max="1" width="31" customWidth="1"/>
    <col min="2" max="2" width="92" customWidth="1"/>
    <col min="3" max="26" width="8.625" customWidth="1"/>
  </cols>
  <sheetData>
    <row r="1" spans="1:2" ht="20.25" customHeight="1">
      <c r="A1" s="13" t="s">
        <v>151</v>
      </c>
      <c r="B1" s="11"/>
    </row>
    <row r="2" spans="1:2">
      <c r="A2" s="1" t="s">
        <v>152</v>
      </c>
      <c r="B2" s="2" t="s">
        <v>153</v>
      </c>
    </row>
    <row r="3" spans="1:2">
      <c r="A3" s="1" t="s">
        <v>154</v>
      </c>
      <c r="B3" s="2" t="s">
        <v>155</v>
      </c>
    </row>
    <row r="4" spans="1:2">
      <c r="A4" s="1" t="s">
        <v>156</v>
      </c>
      <c r="B4" s="2" t="s">
        <v>157</v>
      </c>
    </row>
    <row r="5" spans="1:2" ht="29.25" customHeight="1">
      <c r="A5" s="1" t="s">
        <v>158</v>
      </c>
      <c r="B5" s="2" t="s">
        <v>159</v>
      </c>
    </row>
    <row r="6" spans="1:2">
      <c r="A6" s="1" t="s">
        <v>160</v>
      </c>
      <c r="B6" s="2" t="s">
        <v>161</v>
      </c>
    </row>
    <row r="7" spans="1:2" ht="29.25" customHeight="1">
      <c r="A7" s="1" t="s">
        <v>162</v>
      </c>
      <c r="B7" s="2" t="s">
        <v>163</v>
      </c>
    </row>
    <row r="8" spans="1:2" ht="29.25" customHeight="1">
      <c r="A8" s="1" t="s">
        <v>164</v>
      </c>
      <c r="B8" s="2" t="s">
        <v>165</v>
      </c>
    </row>
    <row r="9" spans="1:2">
      <c r="A9" s="1" t="s">
        <v>166</v>
      </c>
      <c r="B9" s="2" t="s">
        <v>167</v>
      </c>
    </row>
    <row r="10" spans="1:2" ht="29.25" customHeight="1">
      <c r="A10" s="1" t="s">
        <v>168</v>
      </c>
      <c r="B10" s="2" t="s">
        <v>169</v>
      </c>
    </row>
    <row r="11" spans="1:2" ht="29.25" customHeight="1">
      <c r="A11" s="1" t="s">
        <v>170</v>
      </c>
      <c r="B11" s="2" t="s">
        <v>171</v>
      </c>
    </row>
    <row r="12" spans="1:2" ht="29.25" customHeight="1">
      <c r="A12" s="1" t="s">
        <v>172</v>
      </c>
      <c r="B12" s="2" t="s">
        <v>173</v>
      </c>
    </row>
    <row r="13" spans="1:2">
      <c r="A13" s="1" t="s">
        <v>174</v>
      </c>
      <c r="B13" s="2">
        <v>239</v>
      </c>
    </row>
    <row r="14" spans="1:2">
      <c r="A14" s="1" t="s">
        <v>175</v>
      </c>
      <c r="B14" s="2">
        <v>17</v>
      </c>
    </row>
    <row r="15" spans="1:2">
      <c r="A15" s="1" t="s">
        <v>176</v>
      </c>
      <c r="B15" s="2" t="s">
        <v>177</v>
      </c>
    </row>
    <row r="16" spans="1:2">
      <c r="A16" s="1" t="s">
        <v>178</v>
      </c>
      <c r="B16" s="2" t="s">
        <v>179</v>
      </c>
    </row>
    <row r="17" spans="1:2">
      <c r="A17" s="1" t="s">
        <v>180</v>
      </c>
      <c r="B17" s="3" t="s">
        <v>181</v>
      </c>
    </row>
    <row r="20" spans="1:2">
      <c r="A20" s="10" t="s">
        <v>182</v>
      </c>
      <c r="B20" s="11"/>
    </row>
    <row r="21" spans="1:2" ht="15.75" customHeight="1">
      <c r="A21" s="4" t="s">
        <v>183</v>
      </c>
      <c r="B21" s="2" t="s">
        <v>184</v>
      </c>
    </row>
    <row r="22" spans="1:2" ht="15.75" customHeight="1">
      <c r="A22" s="4" t="s">
        <v>185</v>
      </c>
      <c r="B22" s="2" t="s">
        <v>186</v>
      </c>
    </row>
    <row r="23" spans="1:2" ht="15.75" customHeight="1">
      <c r="A23" s="4" t="s">
        <v>152</v>
      </c>
      <c r="B23" s="2" t="s">
        <v>187</v>
      </c>
    </row>
    <row r="24" spans="1:2" ht="15.75" customHeight="1">
      <c r="A24" s="4" t="s">
        <v>188</v>
      </c>
      <c r="B24" s="2" t="s">
        <v>189</v>
      </c>
    </row>
    <row r="25" spans="1:2" ht="15.75" customHeight="1"/>
    <row r="26" spans="1:2" ht="15.75" customHeight="1"/>
    <row r="27" spans="1:2" ht="15.75" customHeight="1">
      <c r="A27" s="10" t="s">
        <v>190</v>
      </c>
      <c r="B27" s="11"/>
    </row>
    <row r="28" spans="1:2" ht="15.75" customHeight="1">
      <c r="A28" s="5" t="s">
        <v>191</v>
      </c>
      <c r="B28" s="3" t="s">
        <v>14</v>
      </c>
    </row>
    <row r="29" spans="1:2" ht="15.75" customHeight="1">
      <c r="A29" s="5" t="s">
        <v>192</v>
      </c>
      <c r="B29" s="3" t="s">
        <v>193</v>
      </c>
    </row>
    <row r="30" spans="1:2" ht="15.75" customHeight="1">
      <c r="A30" s="5" t="s">
        <v>194</v>
      </c>
      <c r="B30" s="3" t="s">
        <v>195</v>
      </c>
    </row>
    <row r="31" spans="1:2" ht="15.75" customHeight="1">
      <c r="A31" s="5" t="s">
        <v>196</v>
      </c>
      <c r="B31" s="3" t="s">
        <v>197</v>
      </c>
    </row>
    <row r="32" spans="1:2" ht="15.75" customHeight="1">
      <c r="A32" s="5" t="s">
        <v>198</v>
      </c>
      <c r="B32" s="3" t="s">
        <v>199</v>
      </c>
    </row>
    <row r="33" spans="1:2" ht="15.75" customHeight="1">
      <c r="A33" s="5" t="s">
        <v>200</v>
      </c>
      <c r="B33" s="3" t="s">
        <v>201</v>
      </c>
    </row>
    <row r="34" spans="1:2" ht="15.75" customHeight="1">
      <c r="A34" s="5" t="s">
        <v>202</v>
      </c>
      <c r="B34" s="3" t="s">
        <v>203</v>
      </c>
    </row>
    <row r="35" spans="1:2" ht="15.75" customHeight="1">
      <c r="A35" s="5" t="s">
        <v>204</v>
      </c>
      <c r="B35" s="3" t="s">
        <v>205</v>
      </c>
    </row>
    <row r="36" spans="1:2" ht="15.75" customHeight="1">
      <c r="A36" s="5" t="s">
        <v>206</v>
      </c>
      <c r="B36" s="3" t="s">
        <v>207</v>
      </c>
    </row>
    <row r="37" spans="1:2" ht="15.75" customHeight="1">
      <c r="A37" s="5" t="s">
        <v>208</v>
      </c>
      <c r="B37" s="3" t="s">
        <v>209</v>
      </c>
    </row>
    <row r="38" spans="1:2" ht="15.75" customHeight="1">
      <c r="A38" s="5" t="s">
        <v>210</v>
      </c>
      <c r="B38" s="3" t="s">
        <v>211</v>
      </c>
    </row>
    <row r="39" spans="1:2" ht="15.75" customHeight="1">
      <c r="A39" s="5" t="s">
        <v>212</v>
      </c>
      <c r="B39" s="3" t="s">
        <v>213</v>
      </c>
    </row>
    <row r="40" spans="1:2" ht="15.75" customHeight="1">
      <c r="A40" s="5" t="s">
        <v>214</v>
      </c>
      <c r="B40" s="3" t="s">
        <v>215</v>
      </c>
    </row>
    <row r="41" spans="1:2" ht="15.75" customHeight="1">
      <c r="A41" s="5" t="s">
        <v>216</v>
      </c>
      <c r="B41" s="3" t="s">
        <v>217</v>
      </c>
    </row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7:B27"/>
    <mergeCell ref="A20:B20"/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sqref="A1:D1"/>
    </sheetView>
  </sheetViews>
  <sheetFormatPr defaultColWidth="12.625" defaultRowHeight="15" customHeight="1"/>
  <cols>
    <col min="1" max="1" width="20" customWidth="1"/>
    <col min="2" max="2" width="48" customWidth="1"/>
    <col min="3" max="3" width="52" customWidth="1"/>
    <col min="4" max="4" width="54" customWidth="1"/>
    <col min="5" max="26" width="8.625" customWidth="1"/>
  </cols>
  <sheetData>
    <row r="1" spans="1:4" ht="19.5" customHeight="1">
      <c r="A1" s="12" t="s">
        <v>218</v>
      </c>
      <c r="B1" s="11"/>
      <c r="C1" s="11"/>
      <c r="D1" s="11"/>
    </row>
    <row r="3" spans="1:4">
      <c r="A3" s="6" t="s">
        <v>219</v>
      </c>
      <c r="B3" s="6" t="s">
        <v>220</v>
      </c>
      <c r="C3" s="6" t="s">
        <v>221</v>
      </c>
      <c r="D3" s="6" t="s">
        <v>222</v>
      </c>
    </row>
    <row r="4" spans="1:4" ht="28.5" customHeight="1">
      <c r="A4" s="2" t="s">
        <v>223</v>
      </c>
      <c r="B4" s="2" t="s">
        <v>155</v>
      </c>
      <c r="C4" s="2" t="s">
        <v>224</v>
      </c>
      <c r="D4" s="2" t="s">
        <v>225</v>
      </c>
    </row>
    <row r="5" spans="1:4" ht="28.5" customHeight="1">
      <c r="A5" s="2" t="s">
        <v>226</v>
      </c>
      <c r="B5" s="2" t="s">
        <v>227</v>
      </c>
      <c r="C5" s="2" t="s">
        <v>228</v>
      </c>
      <c r="D5" s="2" t="s">
        <v>229</v>
      </c>
    </row>
    <row r="6" spans="1:4" ht="28.5" customHeight="1">
      <c r="A6" s="2" t="s">
        <v>230</v>
      </c>
      <c r="B6" s="2" t="s">
        <v>231</v>
      </c>
      <c r="C6" s="2" t="s">
        <v>232</v>
      </c>
      <c r="D6" s="2" t="s">
        <v>233</v>
      </c>
    </row>
    <row r="7" spans="1:4" ht="28.5" customHeight="1">
      <c r="A7" s="2" t="s">
        <v>234</v>
      </c>
      <c r="B7" s="2" t="s">
        <v>235</v>
      </c>
      <c r="C7" s="2" t="s">
        <v>236</v>
      </c>
      <c r="D7" s="2" t="s">
        <v>237</v>
      </c>
    </row>
    <row r="8" spans="1:4" ht="28.5" customHeight="1">
      <c r="A8" s="2" t="s">
        <v>238</v>
      </c>
      <c r="B8" s="2" t="s">
        <v>239</v>
      </c>
      <c r="C8" s="2" t="s">
        <v>240</v>
      </c>
      <c r="D8" s="2" t="s">
        <v>241</v>
      </c>
    </row>
    <row r="9" spans="1:4" ht="28.5" customHeight="1">
      <c r="A9" s="2" t="s">
        <v>238</v>
      </c>
      <c r="B9" s="2" t="s">
        <v>242</v>
      </c>
      <c r="C9" s="2" t="s">
        <v>243</v>
      </c>
      <c r="D9" s="2" t="s">
        <v>244</v>
      </c>
    </row>
    <row r="10" spans="1:4" ht="28.5" customHeight="1">
      <c r="A10" s="2" t="s">
        <v>238</v>
      </c>
      <c r="B10" s="2" t="s">
        <v>245</v>
      </c>
      <c r="C10" s="2" t="s">
        <v>246</v>
      </c>
      <c r="D10" s="2" t="s">
        <v>247</v>
      </c>
    </row>
    <row r="11" spans="1:4" ht="28.5" customHeight="1">
      <c r="A11" s="2" t="s">
        <v>248</v>
      </c>
      <c r="B11" s="2" t="s">
        <v>249</v>
      </c>
      <c r="C11" s="2" t="s">
        <v>250</v>
      </c>
      <c r="D11" s="2" t="s">
        <v>251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opLeftCell="E14" zoomScale="85" zoomScaleNormal="85" workbookViewId="0">
      <selection activeCell="J18" sqref="J18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252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253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3</v>
      </c>
      <c r="B3" s="6" t="s">
        <v>254</v>
      </c>
      <c r="C3" s="6" t="s">
        <v>4</v>
      </c>
      <c r="D3" s="6" t="s">
        <v>255</v>
      </c>
      <c r="E3" s="6" t="s">
        <v>256</v>
      </c>
      <c r="F3" s="6" t="s">
        <v>257</v>
      </c>
      <c r="G3" s="6" t="s">
        <v>258</v>
      </c>
      <c r="H3" s="6" t="s">
        <v>259</v>
      </c>
      <c r="I3" s="6" t="s">
        <v>260</v>
      </c>
      <c r="J3" s="6" t="s">
        <v>261</v>
      </c>
      <c r="K3" s="6" t="s">
        <v>12</v>
      </c>
      <c r="L3" s="6" t="s">
        <v>262</v>
      </c>
    </row>
    <row r="4" spans="1:12">
      <c r="A4" s="7" t="s">
        <v>27</v>
      </c>
      <c r="B4" s="7" t="s">
        <v>183</v>
      </c>
      <c r="C4" s="7" t="s">
        <v>14</v>
      </c>
      <c r="D4" s="7" t="s">
        <v>263</v>
      </c>
      <c r="E4" s="7" t="s">
        <v>264</v>
      </c>
      <c r="F4" s="7" t="s">
        <v>15</v>
      </c>
      <c r="G4" s="7" t="s">
        <v>265</v>
      </c>
      <c r="H4" s="7" t="s">
        <v>266</v>
      </c>
      <c r="I4" s="7" t="s">
        <v>15</v>
      </c>
      <c r="J4" s="7" t="s">
        <v>267</v>
      </c>
      <c r="K4" s="7"/>
      <c r="L4" s="7" t="s">
        <v>268</v>
      </c>
    </row>
    <row r="5" spans="1:12">
      <c r="A5" s="7" t="s">
        <v>30</v>
      </c>
      <c r="B5" s="7" t="s">
        <v>183</v>
      </c>
      <c r="C5" s="7" t="s">
        <v>14</v>
      </c>
      <c r="D5" s="7" t="s">
        <v>269</v>
      </c>
      <c r="E5" s="7" t="s">
        <v>264</v>
      </c>
      <c r="F5" s="7" t="s">
        <v>15</v>
      </c>
      <c r="G5" s="7" t="s">
        <v>265</v>
      </c>
      <c r="H5" s="7" t="s">
        <v>270</v>
      </c>
      <c r="I5" s="7" t="s">
        <v>15</v>
      </c>
      <c r="J5" s="7" t="s">
        <v>267</v>
      </c>
      <c r="K5" s="7"/>
      <c r="L5" s="7" t="s">
        <v>268</v>
      </c>
    </row>
    <row r="6" spans="1:12">
      <c r="A6" s="7" t="s">
        <v>33</v>
      </c>
      <c r="B6" s="7" t="s">
        <v>183</v>
      </c>
      <c r="C6" s="7" t="s">
        <v>14</v>
      </c>
      <c r="D6" s="7" t="s">
        <v>271</v>
      </c>
      <c r="E6" s="7" t="s">
        <v>264</v>
      </c>
      <c r="F6" s="7" t="s">
        <v>15</v>
      </c>
      <c r="G6" s="7" t="s">
        <v>265</v>
      </c>
      <c r="H6" s="7" t="s">
        <v>272</v>
      </c>
      <c r="I6" s="7" t="s">
        <v>15</v>
      </c>
      <c r="J6" s="7" t="s">
        <v>267</v>
      </c>
      <c r="K6" s="7"/>
      <c r="L6" s="7" t="s">
        <v>268</v>
      </c>
    </row>
    <row r="7" spans="1:12" ht="28.5" customHeight="1">
      <c r="A7" s="7" t="s">
        <v>36</v>
      </c>
      <c r="B7" s="7" t="s">
        <v>183</v>
      </c>
      <c r="C7" s="7" t="s">
        <v>14</v>
      </c>
      <c r="D7" s="7" t="s">
        <v>273</v>
      </c>
      <c r="E7" s="7" t="s">
        <v>264</v>
      </c>
      <c r="F7" s="7" t="s">
        <v>82</v>
      </c>
      <c r="G7" s="7" t="s">
        <v>274</v>
      </c>
      <c r="H7" s="7" t="s">
        <v>275</v>
      </c>
      <c r="I7" s="7" t="s">
        <v>15</v>
      </c>
      <c r="J7" s="7" t="s">
        <v>267</v>
      </c>
      <c r="K7" s="7"/>
      <c r="L7" s="7" t="s">
        <v>268</v>
      </c>
    </row>
    <row r="8" spans="1:12" ht="28.5" customHeight="1">
      <c r="A8" s="7" t="s">
        <v>39</v>
      </c>
      <c r="B8" s="7" t="s">
        <v>183</v>
      </c>
      <c r="C8" s="7" t="s">
        <v>14</v>
      </c>
      <c r="D8" s="7" t="s">
        <v>276</v>
      </c>
      <c r="E8" s="7" t="s">
        <v>264</v>
      </c>
      <c r="F8" s="7" t="s">
        <v>277</v>
      </c>
      <c r="G8" s="7" t="s">
        <v>278</v>
      </c>
      <c r="H8" s="7" t="s">
        <v>279</v>
      </c>
      <c r="I8" s="7" t="s">
        <v>15</v>
      </c>
      <c r="J8" s="7" t="s">
        <v>267</v>
      </c>
      <c r="K8" s="7"/>
      <c r="L8" s="7" t="s">
        <v>268</v>
      </c>
    </row>
    <row r="9" spans="1:12" ht="28.5" customHeight="1">
      <c r="A9" s="7" t="s">
        <v>42</v>
      </c>
      <c r="B9" s="7" t="s">
        <v>183</v>
      </c>
      <c r="C9" s="7" t="s">
        <v>14</v>
      </c>
      <c r="D9" s="7" t="s">
        <v>280</v>
      </c>
      <c r="E9" s="7" t="s">
        <v>264</v>
      </c>
      <c r="F9" s="7" t="s">
        <v>277</v>
      </c>
      <c r="G9" s="7" t="s">
        <v>281</v>
      </c>
      <c r="H9" s="7" t="s">
        <v>282</v>
      </c>
      <c r="I9" s="7" t="s">
        <v>15</v>
      </c>
      <c r="J9" s="7" t="s">
        <v>267</v>
      </c>
      <c r="K9" s="7"/>
      <c r="L9" s="7" t="s">
        <v>268</v>
      </c>
    </row>
    <row r="10" spans="1:12">
      <c r="A10" s="7" t="s">
        <v>45</v>
      </c>
      <c r="B10" s="7" t="s">
        <v>183</v>
      </c>
      <c r="C10" s="7" t="s">
        <v>14</v>
      </c>
      <c r="D10" s="7" t="s">
        <v>283</v>
      </c>
      <c r="E10" s="7" t="s">
        <v>284</v>
      </c>
      <c r="F10" s="7" t="s">
        <v>157</v>
      </c>
      <c r="G10" s="7" t="s">
        <v>285</v>
      </c>
      <c r="H10" s="7" t="s">
        <v>286</v>
      </c>
      <c r="I10" s="7" t="s">
        <v>15</v>
      </c>
      <c r="J10" s="7" t="s">
        <v>267</v>
      </c>
      <c r="K10" s="7"/>
      <c r="L10" s="7" t="s">
        <v>268</v>
      </c>
    </row>
    <row r="11" spans="1:12">
      <c r="A11" s="7" t="s">
        <v>48</v>
      </c>
      <c r="B11" s="7" t="s">
        <v>183</v>
      </c>
      <c r="C11" s="7" t="s">
        <v>14</v>
      </c>
      <c r="D11" s="7" t="s">
        <v>287</v>
      </c>
      <c r="E11" s="7" t="s">
        <v>264</v>
      </c>
      <c r="F11" s="7" t="s">
        <v>288</v>
      </c>
      <c r="G11" s="7" t="s">
        <v>285</v>
      </c>
      <c r="H11" s="7" t="s">
        <v>289</v>
      </c>
      <c r="I11" s="7" t="s">
        <v>15</v>
      </c>
      <c r="J11" s="7" t="s">
        <v>267</v>
      </c>
      <c r="K11" s="7"/>
      <c r="L11" s="7" t="s">
        <v>268</v>
      </c>
    </row>
    <row r="12" spans="1:12" ht="42.75" customHeight="1">
      <c r="A12" s="7" t="s">
        <v>51</v>
      </c>
      <c r="B12" s="7" t="s">
        <v>183</v>
      </c>
      <c r="C12" s="7" t="s">
        <v>14</v>
      </c>
      <c r="D12" s="7" t="s">
        <v>290</v>
      </c>
      <c r="E12" s="7" t="s">
        <v>264</v>
      </c>
      <c r="F12" s="7" t="s">
        <v>291</v>
      </c>
      <c r="G12" s="7" t="s">
        <v>292</v>
      </c>
      <c r="H12" s="7" t="s">
        <v>293</v>
      </c>
      <c r="I12" s="7" t="s">
        <v>15</v>
      </c>
      <c r="J12" s="7" t="s">
        <v>267</v>
      </c>
      <c r="K12" s="7"/>
      <c r="L12" s="7" t="s">
        <v>268</v>
      </c>
    </row>
    <row r="13" spans="1:12" ht="42.75" customHeight="1">
      <c r="A13" s="7" t="s">
        <v>54</v>
      </c>
      <c r="B13" s="7" t="s">
        <v>183</v>
      </c>
      <c r="C13" s="7" t="s">
        <v>14</v>
      </c>
      <c r="D13" s="7" t="s">
        <v>294</v>
      </c>
      <c r="E13" s="7" t="s">
        <v>264</v>
      </c>
      <c r="F13" s="7" t="s">
        <v>295</v>
      </c>
      <c r="G13" s="7" t="s">
        <v>292</v>
      </c>
      <c r="H13" s="7" t="s">
        <v>293</v>
      </c>
      <c r="I13" s="7" t="s">
        <v>15</v>
      </c>
      <c r="J13" s="7" t="s">
        <v>267</v>
      </c>
      <c r="K13" s="7"/>
      <c r="L13" s="7" t="s">
        <v>268</v>
      </c>
    </row>
    <row r="14" spans="1:12" ht="42.75" customHeight="1">
      <c r="A14" s="7" t="s">
        <v>57</v>
      </c>
      <c r="B14" s="7" t="s">
        <v>183</v>
      </c>
      <c r="C14" s="7" t="s">
        <v>14</v>
      </c>
      <c r="D14" s="7" t="s">
        <v>296</v>
      </c>
      <c r="E14" s="7" t="s">
        <v>264</v>
      </c>
      <c r="F14" s="7" t="s">
        <v>297</v>
      </c>
      <c r="G14" s="7" t="s">
        <v>292</v>
      </c>
      <c r="H14" s="7" t="s">
        <v>298</v>
      </c>
      <c r="I14" s="7" t="s">
        <v>15</v>
      </c>
      <c r="J14" s="7" t="s">
        <v>267</v>
      </c>
      <c r="K14" s="7"/>
      <c r="L14" s="7" t="s">
        <v>268</v>
      </c>
    </row>
    <row r="15" spans="1:12" ht="42.75" customHeight="1">
      <c r="A15" s="7" t="s">
        <v>60</v>
      </c>
      <c r="B15" s="7" t="s">
        <v>183</v>
      </c>
      <c r="C15" s="7" t="s">
        <v>14</v>
      </c>
      <c r="D15" s="7" t="s">
        <v>299</v>
      </c>
      <c r="E15" s="7" t="s">
        <v>264</v>
      </c>
      <c r="F15" s="7" t="s">
        <v>300</v>
      </c>
      <c r="G15" s="7" t="s">
        <v>292</v>
      </c>
      <c r="H15" s="7" t="s">
        <v>301</v>
      </c>
      <c r="I15" s="7" t="s">
        <v>15</v>
      </c>
      <c r="J15" s="7" t="s">
        <v>267</v>
      </c>
      <c r="K15" s="7"/>
      <c r="L15" s="7" t="s">
        <v>268</v>
      </c>
    </row>
    <row r="16" spans="1:12" ht="42.75" customHeight="1">
      <c r="A16" s="7" t="s">
        <v>63</v>
      </c>
      <c r="B16" s="7" t="s">
        <v>183</v>
      </c>
      <c r="C16" s="7" t="s">
        <v>14</v>
      </c>
      <c r="D16" s="7" t="s">
        <v>302</v>
      </c>
      <c r="E16" s="7" t="s">
        <v>264</v>
      </c>
      <c r="F16" s="7" t="s">
        <v>303</v>
      </c>
      <c r="G16" s="7" t="s">
        <v>292</v>
      </c>
      <c r="H16" s="7" t="s">
        <v>301</v>
      </c>
      <c r="I16" s="7" t="s">
        <v>15</v>
      </c>
      <c r="J16" s="7" t="s">
        <v>267</v>
      </c>
      <c r="K16" s="7"/>
      <c r="L16" s="7" t="s">
        <v>268</v>
      </c>
    </row>
    <row r="17" spans="1:12" ht="42.75" customHeight="1">
      <c r="A17" s="7" t="s">
        <v>66</v>
      </c>
      <c r="B17" s="7" t="s">
        <v>183</v>
      </c>
      <c r="C17" s="7" t="s">
        <v>14</v>
      </c>
      <c r="D17" s="7" t="s">
        <v>304</v>
      </c>
      <c r="E17" s="7" t="s">
        <v>264</v>
      </c>
      <c r="F17" s="7" t="s">
        <v>305</v>
      </c>
      <c r="G17" s="7" t="s">
        <v>292</v>
      </c>
      <c r="H17" s="7" t="s">
        <v>306</v>
      </c>
      <c r="I17" s="7" t="s">
        <v>15</v>
      </c>
      <c r="J17" s="7" t="s">
        <v>267</v>
      </c>
      <c r="K17" s="7"/>
      <c r="L17" s="7" t="s">
        <v>268</v>
      </c>
    </row>
    <row r="18" spans="1:12" ht="42.75" customHeight="1">
      <c r="A18" s="7" t="s">
        <v>81</v>
      </c>
      <c r="B18" s="7" t="s">
        <v>183</v>
      </c>
      <c r="C18" s="7" t="s">
        <v>14</v>
      </c>
      <c r="D18" s="7" t="s">
        <v>307</v>
      </c>
      <c r="E18" s="7" t="s">
        <v>264</v>
      </c>
      <c r="F18" s="7" t="s">
        <v>308</v>
      </c>
      <c r="G18" s="7" t="s">
        <v>292</v>
      </c>
      <c r="H18" s="7" t="s">
        <v>309</v>
      </c>
      <c r="I18" s="7" t="s">
        <v>82</v>
      </c>
      <c r="J18" s="7" t="s">
        <v>310</v>
      </c>
      <c r="K18" s="7"/>
      <c r="L18" s="7" t="s">
        <v>268</v>
      </c>
    </row>
    <row r="19" spans="1:12" ht="28.5" customHeight="1">
      <c r="A19" s="7" t="s">
        <v>69</v>
      </c>
      <c r="B19" s="7" t="s">
        <v>183</v>
      </c>
      <c r="C19" s="7" t="s">
        <v>14</v>
      </c>
      <c r="D19" s="7" t="s">
        <v>311</v>
      </c>
      <c r="E19" s="7" t="s">
        <v>264</v>
      </c>
      <c r="F19" s="7" t="s">
        <v>312</v>
      </c>
      <c r="G19" s="7" t="s">
        <v>313</v>
      </c>
      <c r="H19" s="7" t="s">
        <v>314</v>
      </c>
      <c r="I19" s="7" t="s">
        <v>15</v>
      </c>
      <c r="J19" s="7" t="s">
        <v>267</v>
      </c>
      <c r="K19" s="7"/>
      <c r="L19" s="7" t="s">
        <v>268</v>
      </c>
    </row>
    <row r="20" spans="1:12" ht="28.5" customHeight="1">
      <c r="A20" s="7" t="s">
        <v>72</v>
      </c>
      <c r="B20" s="7" t="s">
        <v>183</v>
      </c>
      <c r="C20" s="7" t="s">
        <v>14</v>
      </c>
      <c r="D20" s="7" t="s">
        <v>315</v>
      </c>
      <c r="E20" s="7" t="s">
        <v>264</v>
      </c>
      <c r="F20" s="7" t="s">
        <v>316</v>
      </c>
      <c r="G20" s="7" t="s">
        <v>313</v>
      </c>
      <c r="H20" s="7" t="s">
        <v>317</v>
      </c>
      <c r="I20" s="7" t="s">
        <v>15</v>
      </c>
      <c r="J20" s="7" t="s">
        <v>267</v>
      </c>
      <c r="K20" s="7"/>
      <c r="L20" s="7" t="s">
        <v>268</v>
      </c>
    </row>
    <row r="21" spans="1:12" ht="15.75" customHeight="1">
      <c r="A21" s="7" t="s">
        <v>75</v>
      </c>
      <c r="B21" s="7" t="s">
        <v>183</v>
      </c>
      <c r="C21" s="7" t="s">
        <v>14</v>
      </c>
      <c r="D21" s="7" t="s">
        <v>318</v>
      </c>
      <c r="E21" s="7" t="s">
        <v>264</v>
      </c>
      <c r="F21" s="7" t="s">
        <v>319</v>
      </c>
      <c r="G21" s="7" t="s">
        <v>320</v>
      </c>
      <c r="H21" s="7" t="s">
        <v>321</v>
      </c>
      <c r="I21" s="7" t="s">
        <v>15</v>
      </c>
      <c r="J21" s="7" t="s">
        <v>267</v>
      </c>
      <c r="K21" s="7"/>
      <c r="L21" s="7" t="s">
        <v>268</v>
      </c>
    </row>
    <row r="22" spans="1:12" ht="15.75" customHeight="1">
      <c r="A22" s="7" t="s">
        <v>78</v>
      </c>
      <c r="B22" s="7" t="s">
        <v>183</v>
      </c>
      <c r="C22" s="7" t="s">
        <v>14</v>
      </c>
      <c r="D22" s="7" t="s">
        <v>322</v>
      </c>
      <c r="E22" s="7" t="s">
        <v>264</v>
      </c>
      <c r="F22" s="7" t="s">
        <v>323</v>
      </c>
      <c r="G22" s="7" t="s">
        <v>320</v>
      </c>
      <c r="H22" s="7" t="s">
        <v>321</v>
      </c>
      <c r="I22" s="7" t="s">
        <v>15</v>
      </c>
      <c r="J22" s="7" t="s">
        <v>267</v>
      </c>
      <c r="K22" s="7"/>
      <c r="L22" s="7" t="s">
        <v>268</v>
      </c>
    </row>
    <row r="23" spans="1:12" ht="15.75" customHeight="1">
      <c r="A23" s="7" t="s">
        <v>13</v>
      </c>
      <c r="B23" s="7" t="s">
        <v>152</v>
      </c>
      <c r="C23" s="7" t="s">
        <v>14</v>
      </c>
      <c r="D23" s="7" t="s">
        <v>324</v>
      </c>
      <c r="E23" s="7" t="s">
        <v>264</v>
      </c>
      <c r="F23" s="7" t="s">
        <v>325</v>
      </c>
      <c r="G23" s="7" t="s">
        <v>326</v>
      </c>
      <c r="H23" s="7" t="s">
        <v>327</v>
      </c>
      <c r="I23" s="7" t="s">
        <v>15</v>
      </c>
      <c r="J23" s="7" t="s">
        <v>267</v>
      </c>
      <c r="K23" s="7"/>
      <c r="L23" s="7" t="s">
        <v>328</v>
      </c>
    </row>
    <row r="24" spans="1:12" ht="15.75" customHeight="1">
      <c r="A24" s="7" t="s">
        <v>21</v>
      </c>
      <c r="B24" s="7" t="s">
        <v>152</v>
      </c>
      <c r="C24" s="7" t="s">
        <v>14</v>
      </c>
      <c r="D24" s="7" t="s">
        <v>329</v>
      </c>
      <c r="E24" s="7" t="s">
        <v>264</v>
      </c>
      <c r="F24" s="7" t="s">
        <v>325</v>
      </c>
      <c r="G24" s="7" t="s">
        <v>330</v>
      </c>
      <c r="H24" s="7" t="s">
        <v>331</v>
      </c>
      <c r="I24" s="7" t="s">
        <v>15</v>
      </c>
      <c r="J24" s="7" t="s">
        <v>267</v>
      </c>
      <c r="K24" s="7"/>
      <c r="L24" s="7" t="s">
        <v>328</v>
      </c>
    </row>
    <row r="25" spans="1:12" ht="15.75" customHeight="1">
      <c r="A25" s="7" t="s">
        <v>24</v>
      </c>
      <c r="B25" s="7" t="s">
        <v>152</v>
      </c>
      <c r="C25" s="7" t="s">
        <v>14</v>
      </c>
      <c r="D25" s="7" t="s">
        <v>332</v>
      </c>
      <c r="E25" s="7" t="s">
        <v>264</v>
      </c>
      <c r="F25" s="7" t="s">
        <v>325</v>
      </c>
      <c r="G25" s="7" t="s">
        <v>333</v>
      </c>
      <c r="H25" s="7" t="s">
        <v>334</v>
      </c>
      <c r="I25" s="7" t="s">
        <v>15</v>
      </c>
      <c r="J25" s="7" t="s">
        <v>267</v>
      </c>
      <c r="K25" s="7"/>
      <c r="L25" s="7" t="s">
        <v>328</v>
      </c>
    </row>
    <row r="26" spans="1:12" ht="15.75" customHeight="1">
      <c r="A26" s="7" t="s">
        <v>97</v>
      </c>
      <c r="B26" s="7" t="s">
        <v>152</v>
      </c>
      <c r="C26" s="7" t="s">
        <v>14</v>
      </c>
      <c r="D26" s="7" t="s">
        <v>335</v>
      </c>
      <c r="E26" s="7" t="s">
        <v>264</v>
      </c>
      <c r="F26" s="7" t="s">
        <v>336</v>
      </c>
      <c r="G26" s="7" t="s">
        <v>337</v>
      </c>
      <c r="H26" s="7" t="s">
        <v>338</v>
      </c>
      <c r="I26" s="7" t="s">
        <v>98</v>
      </c>
      <c r="J26" s="7" t="s">
        <v>267</v>
      </c>
      <c r="K26" s="7" t="s">
        <v>339</v>
      </c>
      <c r="L26" s="7" t="s">
        <v>328</v>
      </c>
    </row>
    <row r="27" spans="1:12" ht="15.75" customHeight="1">
      <c r="A27" s="7" t="s">
        <v>101</v>
      </c>
      <c r="B27" s="7" t="s">
        <v>152</v>
      </c>
      <c r="C27" s="7" t="s">
        <v>14</v>
      </c>
      <c r="D27" s="7" t="s">
        <v>340</v>
      </c>
      <c r="E27" s="7" t="s">
        <v>264</v>
      </c>
      <c r="F27" s="7" t="s">
        <v>341</v>
      </c>
      <c r="G27" s="7" t="s">
        <v>337</v>
      </c>
      <c r="H27" s="7" t="s">
        <v>342</v>
      </c>
      <c r="I27" s="7" t="s">
        <v>102</v>
      </c>
      <c r="J27" s="7" t="s">
        <v>267</v>
      </c>
      <c r="K27" s="7" t="s">
        <v>339</v>
      </c>
      <c r="L27" s="7" t="s">
        <v>328</v>
      </c>
    </row>
    <row r="28" spans="1:12" ht="15.75" customHeight="1">
      <c r="A28" s="7" t="s">
        <v>105</v>
      </c>
      <c r="B28" s="7" t="s">
        <v>152</v>
      </c>
      <c r="C28" s="7" t="s">
        <v>14</v>
      </c>
      <c r="D28" s="7" t="s">
        <v>343</v>
      </c>
      <c r="E28" s="7" t="s">
        <v>264</v>
      </c>
      <c r="F28" s="7" t="s">
        <v>344</v>
      </c>
      <c r="G28" s="7" t="s">
        <v>337</v>
      </c>
      <c r="H28" s="7" t="s">
        <v>345</v>
      </c>
      <c r="I28" s="7" t="s">
        <v>106</v>
      </c>
      <c r="J28" s="7" t="s">
        <v>267</v>
      </c>
      <c r="K28" s="7" t="s">
        <v>339</v>
      </c>
      <c r="L28" s="7" t="s">
        <v>328</v>
      </c>
    </row>
    <row r="29" spans="1:12" ht="15.75" customHeight="1">
      <c r="A29" s="7" t="s">
        <v>109</v>
      </c>
      <c r="B29" s="7" t="s">
        <v>152</v>
      </c>
      <c r="C29" s="7" t="s">
        <v>14</v>
      </c>
      <c r="D29" s="7" t="s">
        <v>346</v>
      </c>
      <c r="E29" s="7" t="s">
        <v>264</v>
      </c>
      <c r="F29" s="7" t="s">
        <v>347</v>
      </c>
      <c r="G29" s="7" t="s">
        <v>337</v>
      </c>
      <c r="H29" s="7" t="s">
        <v>348</v>
      </c>
      <c r="I29" s="7" t="s">
        <v>110</v>
      </c>
      <c r="J29" s="7" t="s">
        <v>267</v>
      </c>
      <c r="K29" s="7" t="s">
        <v>339</v>
      </c>
      <c r="L29" s="7" t="s">
        <v>328</v>
      </c>
    </row>
    <row r="30" spans="1:12" ht="15.75" customHeight="1">
      <c r="A30" s="7" t="s">
        <v>113</v>
      </c>
      <c r="B30" s="7" t="s">
        <v>152</v>
      </c>
      <c r="C30" s="7" t="s">
        <v>14</v>
      </c>
      <c r="D30" s="7" t="s">
        <v>349</v>
      </c>
      <c r="E30" s="7" t="s">
        <v>264</v>
      </c>
      <c r="F30" s="7" t="s">
        <v>350</v>
      </c>
      <c r="G30" s="7" t="s">
        <v>337</v>
      </c>
      <c r="H30" s="7" t="s">
        <v>351</v>
      </c>
      <c r="I30" s="7" t="s">
        <v>114</v>
      </c>
      <c r="J30" s="7" t="s">
        <v>267</v>
      </c>
      <c r="K30" s="7" t="s">
        <v>339</v>
      </c>
      <c r="L30" s="7" t="s">
        <v>328</v>
      </c>
    </row>
    <row r="31" spans="1:12" ht="15.75" customHeight="1">
      <c r="A31" s="7" t="s">
        <v>117</v>
      </c>
      <c r="B31" s="7" t="s">
        <v>152</v>
      </c>
      <c r="C31" s="7" t="s">
        <v>14</v>
      </c>
      <c r="D31" s="7" t="s">
        <v>352</v>
      </c>
      <c r="E31" s="7" t="s">
        <v>264</v>
      </c>
      <c r="F31" s="7" t="s">
        <v>15</v>
      </c>
      <c r="G31" s="7" t="s">
        <v>353</v>
      </c>
      <c r="H31" s="7" t="s">
        <v>354</v>
      </c>
      <c r="I31" s="7" t="s">
        <v>82</v>
      </c>
      <c r="J31" s="7" t="s">
        <v>267</v>
      </c>
      <c r="K31" s="7" t="s">
        <v>355</v>
      </c>
      <c r="L31" s="7" t="s">
        <v>328</v>
      </c>
    </row>
    <row r="32" spans="1:12" ht="15.75" customHeight="1">
      <c r="A32" s="7" t="s">
        <v>122</v>
      </c>
      <c r="B32" s="7" t="s">
        <v>152</v>
      </c>
      <c r="C32" s="7" t="s">
        <v>14</v>
      </c>
      <c r="D32" s="7" t="s">
        <v>356</v>
      </c>
      <c r="E32" s="7" t="s">
        <v>357</v>
      </c>
      <c r="F32" s="7" t="s">
        <v>358</v>
      </c>
      <c r="G32" s="7" t="s">
        <v>359</v>
      </c>
      <c r="H32" s="7" t="s">
        <v>360</v>
      </c>
      <c r="I32" s="7" t="s">
        <v>82</v>
      </c>
      <c r="J32" s="7" t="s">
        <v>267</v>
      </c>
      <c r="K32" s="7" t="s">
        <v>355</v>
      </c>
      <c r="L32" s="7" t="s">
        <v>328</v>
      </c>
    </row>
    <row r="33" spans="1:12" ht="15.75" customHeight="1">
      <c r="A33" s="7" t="s">
        <v>127</v>
      </c>
      <c r="B33" s="7" t="s">
        <v>152</v>
      </c>
      <c r="C33" s="7" t="s">
        <v>14</v>
      </c>
      <c r="D33" s="7" t="s">
        <v>361</v>
      </c>
      <c r="E33" s="7" t="s">
        <v>264</v>
      </c>
      <c r="F33" s="7" t="s">
        <v>15</v>
      </c>
      <c r="G33" s="7" t="s">
        <v>362</v>
      </c>
      <c r="H33" s="7" t="s">
        <v>363</v>
      </c>
      <c r="I33" s="7" t="s">
        <v>82</v>
      </c>
      <c r="J33" s="7" t="s">
        <v>267</v>
      </c>
      <c r="K33" s="7" t="s">
        <v>355</v>
      </c>
      <c r="L33" s="7" t="s">
        <v>328</v>
      </c>
    </row>
    <row r="34" spans="1:12" ht="15.75" customHeight="1">
      <c r="A34" s="7" t="s">
        <v>131</v>
      </c>
      <c r="B34" s="7" t="s">
        <v>152</v>
      </c>
      <c r="C34" s="7" t="s">
        <v>14</v>
      </c>
      <c r="D34" s="7" t="s">
        <v>364</v>
      </c>
      <c r="E34" s="7" t="s">
        <v>264</v>
      </c>
      <c r="F34" s="7" t="s">
        <v>277</v>
      </c>
      <c r="G34" s="7" t="s">
        <v>365</v>
      </c>
      <c r="H34" s="7" t="s">
        <v>366</v>
      </c>
      <c r="I34" s="7" t="s">
        <v>82</v>
      </c>
      <c r="J34" s="7" t="s">
        <v>267</v>
      </c>
      <c r="K34" s="7" t="s">
        <v>355</v>
      </c>
      <c r="L34" s="7" t="s">
        <v>328</v>
      </c>
    </row>
    <row r="35" spans="1:12" ht="15.75" customHeight="1">
      <c r="A35" s="7" t="s">
        <v>135</v>
      </c>
      <c r="B35" s="7" t="s">
        <v>152</v>
      </c>
      <c r="C35" s="7" t="s">
        <v>14</v>
      </c>
      <c r="D35" s="7" t="s">
        <v>367</v>
      </c>
      <c r="E35" s="7" t="s">
        <v>264</v>
      </c>
      <c r="F35" s="7" t="s">
        <v>368</v>
      </c>
      <c r="G35" s="7" t="s">
        <v>369</v>
      </c>
      <c r="H35" s="7" t="s">
        <v>370</v>
      </c>
      <c r="I35" s="7" t="s">
        <v>15</v>
      </c>
      <c r="J35" s="7" t="s">
        <v>267</v>
      </c>
      <c r="K35" s="7" t="s">
        <v>355</v>
      </c>
      <c r="L35" s="7" t="s">
        <v>328</v>
      </c>
    </row>
    <row r="36" spans="1:12" ht="15.75" customHeight="1">
      <c r="A36" s="7" t="s">
        <v>139</v>
      </c>
      <c r="B36" s="7" t="s">
        <v>152</v>
      </c>
      <c r="C36" s="7" t="s">
        <v>14</v>
      </c>
      <c r="D36" s="7" t="s">
        <v>371</v>
      </c>
      <c r="E36" s="7" t="s">
        <v>264</v>
      </c>
      <c r="F36" s="7" t="s">
        <v>372</v>
      </c>
      <c r="G36" s="7" t="s">
        <v>369</v>
      </c>
      <c r="H36" s="7" t="s">
        <v>370</v>
      </c>
      <c r="I36" s="7" t="s">
        <v>15</v>
      </c>
      <c r="J36" s="7" t="s">
        <v>267</v>
      </c>
      <c r="K36" s="7" t="s">
        <v>355</v>
      </c>
      <c r="L36" s="7" t="s">
        <v>328</v>
      </c>
    </row>
    <row r="37" spans="1:12" ht="15.75" customHeight="1">
      <c r="A37" s="7" t="s">
        <v>143</v>
      </c>
      <c r="B37" s="7" t="s">
        <v>152</v>
      </c>
      <c r="C37" s="7" t="s">
        <v>14</v>
      </c>
      <c r="D37" s="7" t="s">
        <v>373</v>
      </c>
      <c r="E37" s="7" t="s">
        <v>264</v>
      </c>
      <c r="F37" s="7" t="s">
        <v>374</v>
      </c>
      <c r="G37" s="7" t="s">
        <v>375</v>
      </c>
      <c r="H37" s="7" t="s">
        <v>376</v>
      </c>
      <c r="I37" s="7" t="s">
        <v>15</v>
      </c>
      <c r="J37" s="7" t="s">
        <v>267</v>
      </c>
      <c r="K37" s="7" t="s">
        <v>377</v>
      </c>
      <c r="L37" s="7" t="s">
        <v>328</v>
      </c>
    </row>
    <row r="38" spans="1:12" ht="15.75" customHeight="1">
      <c r="A38" s="7" t="s">
        <v>147</v>
      </c>
      <c r="B38" s="7" t="s">
        <v>152</v>
      </c>
      <c r="C38" s="7" t="s">
        <v>14</v>
      </c>
      <c r="D38" s="7" t="s">
        <v>378</v>
      </c>
      <c r="E38" s="7" t="s">
        <v>264</v>
      </c>
      <c r="F38" s="7" t="s">
        <v>379</v>
      </c>
      <c r="G38" s="7" t="s">
        <v>380</v>
      </c>
      <c r="H38" s="7" t="s">
        <v>381</v>
      </c>
      <c r="I38" s="7" t="s">
        <v>15</v>
      </c>
      <c r="J38" s="7" t="s">
        <v>267</v>
      </c>
      <c r="K38" s="7" t="s">
        <v>377</v>
      </c>
      <c r="L38" s="7" t="s">
        <v>328</v>
      </c>
    </row>
    <row r="39" spans="1:12" ht="15.75" customHeight="1">
      <c r="A39" s="7" t="s">
        <v>85</v>
      </c>
      <c r="B39" s="7" t="s">
        <v>152</v>
      </c>
      <c r="C39" s="7" t="s">
        <v>14</v>
      </c>
      <c r="D39" s="7" t="s">
        <v>382</v>
      </c>
      <c r="E39" s="7" t="s">
        <v>383</v>
      </c>
      <c r="F39" s="7" t="s">
        <v>15</v>
      </c>
      <c r="G39" s="7" t="s">
        <v>384</v>
      </c>
      <c r="H39" s="7" t="s">
        <v>385</v>
      </c>
      <c r="I39" s="7" t="s">
        <v>82</v>
      </c>
      <c r="J39" s="7" t="s">
        <v>267</v>
      </c>
      <c r="K39" s="7"/>
      <c r="L39" s="7" t="s">
        <v>328</v>
      </c>
    </row>
    <row r="40" spans="1:12" ht="15.75" customHeight="1">
      <c r="A40" s="7" t="s">
        <v>88</v>
      </c>
      <c r="B40" s="7" t="s">
        <v>152</v>
      </c>
      <c r="C40" s="7" t="s">
        <v>14</v>
      </c>
      <c r="D40" s="7" t="s">
        <v>386</v>
      </c>
      <c r="E40" s="7" t="s">
        <v>383</v>
      </c>
      <c r="F40" s="7" t="s">
        <v>15</v>
      </c>
      <c r="G40" s="7" t="s">
        <v>387</v>
      </c>
      <c r="H40" s="7" t="s">
        <v>388</v>
      </c>
      <c r="I40" s="7" t="s">
        <v>82</v>
      </c>
      <c r="J40" s="7" t="s">
        <v>310</v>
      </c>
      <c r="K40" s="7"/>
      <c r="L40" s="7" t="s">
        <v>328</v>
      </c>
    </row>
    <row r="41" spans="1:12" ht="15.75" customHeight="1">
      <c r="A41" s="7" t="s">
        <v>91</v>
      </c>
      <c r="B41" s="7" t="s">
        <v>152</v>
      </c>
      <c r="C41" s="7" t="s">
        <v>14</v>
      </c>
      <c r="D41" s="7" t="s">
        <v>389</v>
      </c>
      <c r="E41" s="7" t="s">
        <v>390</v>
      </c>
      <c r="F41" s="7" t="s">
        <v>15</v>
      </c>
      <c r="G41" s="7" t="s">
        <v>391</v>
      </c>
      <c r="H41" s="7" t="s">
        <v>392</v>
      </c>
      <c r="I41" s="7" t="s">
        <v>82</v>
      </c>
      <c r="J41" s="7" t="s">
        <v>267</v>
      </c>
      <c r="K41" s="7"/>
      <c r="L41" s="7" t="s">
        <v>328</v>
      </c>
    </row>
    <row r="42" spans="1:12" ht="15.75" customHeight="1">
      <c r="A42" s="7" t="s">
        <v>94</v>
      </c>
      <c r="B42" s="7" t="s">
        <v>152</v>
      </c>
      <c r="C42" s="7" t="s">
        <v>14</v>
      </c>
      <c r="D42" s="7" t="s">
        <v>393</v>
      </c>
      <c r="E42" s="7" t="s">
        <v>390</v>
      </c>
      <c r="F42" s="7" t="s">
        <v>394</v>
      </c>
      <c r="G42" s="7" t="s">
        <v>395</v>
      </c>
      <c r="H42" s="7" t="s">
        <v>396</v>
      </c>
      <c r="I42" s="7" t="s">
        <v>82</v>
      </c>
      <c r="J42" s="7" t="s">
        <v>267</v>
      </c>
      <c r="K42" s="7"/>
      <c r="L42" s="7" t="s">
        <v>328</v>
      </c>
    </row>
    <row r="43" spans="1:12" ht="15.75" customHeight="1">
      <c r="A43" s="7" t="s">
        <v>397</v>
      </c>
      <c r="B43" s="7" t="s">
        <v>188</v>
      </c>
      <c r="C43" s="7" t="s">
        <v>14</v>
      </c>
      <c r="D43" s="7" t="s">
        <v>398</v>
      </c>
      <c r="E43" s="7" t="s">
        <v>399</v>
      </c>
      <c r="F43" s="7" t="s">
        <v>400</v>
      </c>
      <c r="G43" s="7" t="s">
        <v>401</v>
      </c>
      <c r="H43" s="7" t="s">
        <v>402</v>
      </c>
      <c r="I43" s="7" t="s">
        <v>403</v>
      </c>
      <c r="J43" s="7" t="s">
        <v>267</v>
      </c>
      <c r="K43" s="7"/>
      <c r="L43" s="7" t="s">
        <v>404</v>
      </c>
    </row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43">
    <cfRule type="expression" dxfId="61" priority="1">
      <formula>B4="Unit"</formula>
    </cfRule>
    <cfRule type="expression" dxfId="60" priority="2">
      <formula>B4="Integration"</formula>
    </cfRule>
    <cfRule type="expression" dxfId="59" priority="3">
      <formula>B4="System"</formula>
    </cfRule>
    <cfRule type="expression" dxfId="58" priority="4">
      <formula>B4="UAT"</formula>
    </cfRule>
  </conditionalFormatting>
  <dataValidations count="4">
    <dataValidation type="list" allowBlank="1" sqref="B4:B43" xr:uid="{00000000-0002-0000-0200-000000000000}">
      <formula1>"Unit,Integration,System,UAT"</formula1>
    </dataValidation>
    <dataValidation type="list" allowBlank="1" sqref="I4:I43" xr:uid="{00000000-0002-0000-02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43" xr:uid="{00000000-0002-0000-0200-000002000000}">
      <formula1>"No,Yes,Candidate"</formula1>
    </dataValidation>
    <dataValidation type="list" allowBlank="1" sqref="J4:J43" xr:uid="{00000000-0002-0000-02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405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406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3</v>
      </c>
      <c r="B3" s="6" t="s">
        <v>254</v>
      </c>
      <c r="C3" s="6" t="s">
        <v>4</v>
      </c>
      <c r="D3" s="6" t="s">
        <v>255</v>
      </c>
      <c r="E3" s="6" t="s">
        <v>256</v>
      </c>
      <c r="F3" s="6" t="s">
        <v>257</v>
      </c>
      <c r="G3" s="6" t="s">
        <v>258</v>
      </c>
      <c r="H3" s="6" t="s">
        <v>259</v>
      </c>
      <c r="I3" s="6" t="s">
        <v>260</v>
      </c>
      <c r="J3" s="6" t="s">
        <v>261</v>
      </c>
      <c r="K3" s="6" t="s">
        <v>12</v>
      </c>
      <c r="L3" s="6" t="s">
        <v>262</v>
      </c>
    </row>
    <row r="4" spans="1:12">
      <c r="A4" s="7" t="s">
        <v>407</v>
      </c>
      <c r="B4" s="7" t="s">
        <v>183</v>
      </c>
      <c r="C4" s="7" t="s">
        <v>193</v>
      </c>
      <c r="D4" s="7" t="s">
        <v>408</v>
      </c>
      <c r="E4" s="7" t="s">
        <v>383</v>
      </c>
      <c r="F4" s="7" t="s">
        <v>15</v>
      </c>
      <c r="G4" s="7" t="s">
        <v>409</v>
      </c>
      <c r="H4" s="7" t="s">
        <v>410</v>
      </c>
      <c r="I4" s="7" t="s">
        <v>82</v>
      </c>
      <c r="J4" s="7" t="s">
        <v>267</v>
      </c>
      <c r="K4" s="7"/>
      <c r="L4" s="7" t="s">
        <v>328</v>
      </c>
    </row>
    <row r="5" spans="1:12">
      <c r="A5" s="7" t="s">
        <v>411</v>
      </c>
      <c r="B5" s="7" t="s">
        <v>183</v>
      </c>
      <c r="C5" s="7" t="s">
        <v>193</v>
      </c>
      <c r="D5" s="7" t="s">
        <v>412</v>
      </c>
      <c r="E5" s="7" t="s">
        <v>413</v>
      </c>
      <c r="F5" s="7" t="s">
        <v>15</v>
      </c>
      <c r="G5" s="7" t="s">
        <v>409</v>
      </c>
      <c r="H5" s="7" t="s">
        <v>414</v>
      </c>
      <c r="I5" s="7" t="s">
        <v>82</v>
      </c>
      <c r="J5" s="7" t="s">
        <v>267</v>
      </c>
      <c r="K5" s="7"/>
      <c r="L5" s="7" t="s">
        <v>328</v>
      </c>
    </row>
    <row r="6" spans="1:12">
      <c r="A6" s="7" t="s">
        <v>415</v>
      </c>
      <c r="B6" s="7" t="s">
        <v>183</v>
      </c>
      <c r="C6" s="7" t="s">
        <v>193</v>
      </c>
      <c r="D6" s="7" t="s">
        <v>416</v>
      </c>
      <c r="E6" s="7" t="s">
        <v>417</v>
      </c>
      <c r="F6" s="7" t="s">
        <v>418</v>
      </c>
      <c r="G6" s="7" t="s">
        <v>419</v>
      </c>
      <c r="H6" s="7" t="s">
        <v>420</v>
      </c>
      <c r="I6" s="7" t="s">
        <v>82</v>
      </c>
      <c r="J6" s="7" t="s">
        <v>267</v>
      </c>
      <c r="K6" s="7"/>
      <c r="L6" s="7" t="s">
        <v>328</v>
      </c>
    </row>
    <row r="7" spans="1:12">
      <c r="A7" s="7" t="s">
        <v>421</v>
      </c>
      <c r="B7" s="7" t="s">
        <v>183</v>
      </c>
      <c r="C7" s="7" t="s">
        <v>193</v>
      </c>
      <c r="D7" s="7" t="s">
        <v>422</v>
      </c>
      <c r="E7" s="7" t="s">
        <v>417</v>
      </c>
      <c r="F7" s="7" t="s">
        <v>418</v>
      </c>
      <c r="G7" s="7" t="s">
        <v>419</v>
      </c>
      <c r="H7" s="7" t="s">
        <v>423</v>
      </c>
      <c r="I7" s="7" t="s">
        <v>82</v>
      </c>
      <c r="J7" s="7" t="s">
        <v>267</v>
      </c>
      <c r="K7" s="7"/>
      <c r="L7" s="7" t="s">
        <v>328</v>
      </c>
    </row>
    <row r="8" spans="1:12">
      <c r="A8" s="7" t="s">
        <v>424</v>
      </c>
      <c r="B8" s="7" t="s">
        <v>183</v>
      </c>
      <c r="C8" s="7" t="s">
        <v>193</v>
      </c>
      <c r="D8" s="7" t="s">
        <v>425</v>
      </c>
      <c r="E8" s="7" t="s">
        <v>417</v>
      </c>
      <c r="F8" s="7" t="s">
        <v>418</v>
      </c>
      <c r="G8" s="7" t="s">
        <v>419</v>
      </c>
      <c r="H8" s="7" t="s">
        <v>426</v>
      </c>
      <c r="I8" s="7" t="s">
        <v>82</v>
      </c>
      <c r="J8" s="7" t="s">
        <v>267</v>
      </c>
      <c r="K8" s="7"/>
      <c r="L8" s="7" t="s">
        <v>328</v>
      </c>
    </row>
    <row r="9" spans="1:12">
      <c r="A9" s="7" t="s">
        <v>427</v>
      </c>
      <c r="B9" s="7" t="s">
        <v>183</v>
      </c>
      <c r="C9" s="7" t="s">
        <v>193</v>
      </c>
      <c r="D9" s="7" t="s">
        <v>428</v>
      </c>
      <c r="E9" s="7" t="s">
        <v>417</v>
      </c>
      <c r="F9" s="7" t="s">
        <v>418</v>
      </c>
      <c r="G9" s="7" t="s">
        <v>419</v>
      </c>
      <c r="H9" s="7" t="s">
        <v>429</v>
      </c>
      <c r="I9" s="7" t="s">
        <v>82</v>
      </c>
      <c r="J9" s="7" t="s">
        <v>267</v>
      </c>
      <c r="K9" s="7"/>
      <c r="L9" s="7" t="s">
        <v>328</v>
      </c>
    </row>
    <row r="10" spans="1:12" ht="28.5" customHeight="1">
      <c r="A10" s="7" t="s">
        <v>430</v>
      </c>
      <c r="B10" s="7" t="s">
        <v>183</v>
      </c>
      <c r="C10" s="7" t="s">
        <v>193</v>
      </c>
      <c r="D10" s="7" t="s">
        <v>431</v>
      </c>
      <c r="E10" s="7" t="s">
        <v>432</v>
      </c>
      <c r="F10" s="7" t="s">
        <v>433</v>
      </c>
      <c r="G10" s="7" t="s">
        <v>419</v>
      </c>
      <c r="H10" s="7" t="s">
        <v>434</v>
      </c>
      <c r="I10" s="7" t="s">
        <v>82</v>
      </c>
      <c r="J10" s="7" t="s">
        <v>267</v>
      </c>
      <c r="K10" s="7"/>
      <c r="L10" s="7" t="s">
        <v>328</v>
      </c>
    </row>
    <row r="11" spans="1:12">
      <c r="A11" s="7" t="s">
        <v>435</v>
      </c>
      <c r="B11" s="7" t="s">
        <v>183</v>
      </c>
      <c r="C11" s="7" t="s">
        <v>193</v>
      </c>
      <c r="D11" s="7" t="s">
        <v>436</v>
      </c>
      <c r="E11" s="7" t="s">
        <v>417</v>
      </c>
      <c r="F11" s="7" t="s">
        <v>437</v>
      </c>
      <c r="G11" s="7" t="s">
        <v>438</v>
      </c>
      <c r="H11" s="7" t="s">
        <v>439</v>
      </c>
      <c r="I11" s="7" t="s">
        <v>82</v>
      </c>
      <c r="J11" s="7" t="s">
        <v>267</v>
      </c>
      <c r="K11" s="7"/>
      <c r="L11" s="7" t="s">
        <v>328</v>
      </c>
    </row>
    <row r="12" spans="1:12" ht="28.5" customHeight="1">
      <c r="A12" s="7" t="s">
        <v>440</v>
      </c>
      <c r="B12" s="7" t="s">
        <v>183</v>
      </c>
      <c r="C12" s="7" t="s">
        <v>193</v>
      </c>
      <c r="D12" s="7" t="s">
        <v>441</v>
      </c>
      <c r="E12" s="7" t="s">
        <v>417</v>
      </c>
      <c r="F12" s="7" t="s">
        <v>437</v>
      </c>
      <c r="G12" s="7" t="s">
        <v>442</v>
      </c>
      <c r="H12" s="7" t="s">
        <v>443</v>
      </c>
      <c r="I12" s="7" t="s">
        <v>82</v>
      </c>
      <c r="J12" s="7" t="s">
        <v>267</v>
      </c>
      <c r="K12" s="7"/>
      <c r="L12" s="7" t="s">
        <v>328</v>
      </c>
    </row>
    <row r="13" spans="1:12">
      <c r="A13" s="7" t="s">
        <v>444</v>
      </c>
      <c r="B13" s="7" t="s">
        <v>183</v>
      </c>
      <c r="C13" s="7" t="s">
        <v>193</v>
      </c>
      <c r="D13" s="7" t="s">
        <v>445</v>
      </c>
      <c r="E13" s="7" t="s">
        <v>413</v>
      </c>
      <c r="F13" s="7" t="s">
        <v>15</v>
      </c>
      <c r="G13" s="7" t="s">
        <v>446</v>
      </c>
      <c r="H13" s="7" t="s">
        <v>447</v>
      </c>
      <c r="I13" s="7" t="s">
        <v>82</v>
      </c>
      <c r="J13" s="7" t="s">
        <v>267</v>
      </c>
      <c r="K13" s="7"/>
      <c r="L13" s="7" t="s">
        <v>328</v>
      </c>
    </row>
    <row r="14" spans="1:12" ht="42.75" customHeight="1">
      <c r="A14" s="7" t="s">
        <v>448</v>
      </c>
      <c r="B14" s="7" t="s">
        <v>152</v>
      </c>
      <c r="C14" s="7" t="s">
        <v>193</v>
      </c>
      <c r="D14" s="7" t="s">
        <v>449</v>
      </c>
      <c r="E14" s="7" t="s">
        <v>383</v>
      </c>
      <c r="F14" s="7" t="s">
        <v>450</v>
      </c>
      <c r="G14" s="7" t="s">
        <v>451</v>
      </c>
      <c r="H14" s="7" t="s">
        <v>452</v>
      </c>
      <c r="I14" s="7" t="s">
        <v>82</v>
      </c>
      <c r="J14" s="7" t="s">
        <v>267</v>
      </c>
      <c r="K14" s="7" t="s">
        <v>453</v>
      </c>
      <c r="L14" s="7" t="s">
        <v>328</v>
      </c>
    </row>
    <row r="15" spans="1:12" ht="42.75" customHeight="1">
      <c r="A15" s="7" t="s">
        <v>454</v>
      </c>
      <c r="B15" s="7" t="s">
        <v>152</v>
      </c>
      <c r="C15" s="7" t="s">
        <v>193</v>
      </c>
      <c r="D15" s="7" t="s">
        <v>455</v>
      </c>
      <c r="E15" s="7" t="s">
        <v>383</v>
      </c>
      <c r="F15" s="7" t="s">
        <v>450</v>
      </c>
      <c r="G15" s="7" t="s">
        <v>451</v>
      </c>
      <c r="H15" s="7" t="s">
        <v>456</v>
      </c>
      <c r="I15" s="7" t="s">
        <v>82</v>
      </c>
      <c r="J15" s="7" t="s">
        <v>267</v>
      </c>
      <c r="K15" s="7" t="s">
        <v>453</v>
      </c>
      <c r="L15" s="7" t="s">
        <v>328</v>
      </c>
    </row>
    <row r="16" spans="1:12" ht="28.5" customHeight="1">
      <c r="A16" s="7" t="s">
        <v>457</v>
      </c>
      <c r="B16" s="7" t="s">
        <v>185</v>
      </c>
      <c r="C16" s="7" t="s">
        <v>193</v>
      </c>
      <c r="D16" s="7" t="s">
        <v>458</v>
      </c>
      <c r="E16" s="7" t="s">
        <v>459</v>
      </c>
      <c r="F16" s="7" t="s">
        <v>460</v>
      </c>
      <c r="G16" s="7" t="s">
        <v>461</v>
      </c>
      <c r="H16" s="7" t="s">
        <v>462</v>
      </c>
      <c r="I16" s="7" t="s">
        <v>82</v>
      </c>
      <c r="J16" s="7" t="s">
        <v>267</v>
      </c>
      <c r="K16" s="7"/>
      <c r="L16" s="7" t="s">
        <v>328</v>
      </c>
    </row>
    <row r="17" spans="1:12" ht="28.5" customHeight="1">
      <c r="A17" s="7" t="s">
        <v>463</v>
      </c>
      <c r="B17" s="7" t="s">
        <v>185</v>
      </c>
      <c r="C17" s="7" t="s">
        <v>193</v>
      </c>
      <c r="D17" s="7" t="s">
        <v>464</v>
      </c>
      <c r="E17" s="7" t="s">
        <v>465</v>
      </c>
      <c r="F17" s="7" t="s">
        <v>460</v>
      </c>
      <c r="G17" s="7" t="s">
        <v>466</v>
      </c>
      <c r="H17" s="7" t="s">
        <v>467</v>
      </c>
      <c r="I17" s="7" t="s">
        <v>82</v>
      </c>
      <c r="J17" s="7" t="s">
        <v>267</v>
      </c>
      <c r="K17" s="7"/>
      <c r="L17" s="7" t="s">
        <v>328</v>
      </c>
    </row>
    <row r="18" spans="1:12">
      <c r="A18" s="7" t="s">
        <v>468</v>
      </c>
      <c r="B18" s="7" t="s">
        <v>152</v>
      </c>
      <c r="C18" s="7" t="s">
        <v>193</v>
      </c>
      <c r="D18" s="7" t="s">
        <v>469</v>
      </c>
      <c r="E18" s="7" t="s">
        <v>470</v>
      </c>
      <c r="F18" s="7" t="s">
        <v>15</v>
      </c>
      <c r="G18" s="7" t="s">
        <v>471</v>
      </c>
      <c r="H18" s="7" t="s">
        <v>472</v>
      </c>
      <c r="I18" s="7" t="s">
        <v>82</v>
      </c>
      <c r="J18" s="7" t="s">
        <v>267</v>
      </c>
      <c r="K18" s="7"/>
      <c r="L18" s="7" t="s">
        <v>328</v>
      </c>
    </row>
    <row r="19" spans="1:12" ht="28.5" customHeight="1">
      <c r="A19" s="7" t="s">
        <v>473</v>
      </c>
      <c r="B19" s="7" t="s">
        <v>152</v>
      </c>
      <c r="C19" s="7" t="s">
        <v>193</v>
      </c>
      <c r="D19" s="7" t="s">
        <v>474</v>
      </c>
      <c r="E19" s="7" t="s">
        <v>413</v>
      </c>
      <c r="F19" s="7" t="s">
        <v>475</v>
      </c>
      <c r="G19" s="7" t="s">
        <v>476</v>
      </c>
      <c r="H19" s="7" t="s">
        <v>477</v>
      </c>
      <c r="I19" s="7" t="s">
        <v>82</v>
      </c>
      <c r="J19" s="7" t="s">
        <v>267</v>
      </c>
      <c r="K19" s="7"/>
      <c r="L19" s="7" t="s">
        <v>328</v>
      </c>
    </row>
    <row r="20" spans="1:12">
      <c r="A20" s="7" t="s">
        <v>478</v>
      </c>
      <c r="B20" s="7" t="s">
        <v>152</v>
      </c>
      <c r="C20" s="7" t="s">
        <v>193</v>
      </c>
      <c r="D20" s="7" t="s">
        <v>479</v>
      </c>
      <c r="E20" s="7" t="s">
        <v>480</v>
      </c>
      <c r="F20" s="7" t="s">
        <v>15</v>
      </c>
      <c r="G20" s="7" t="s">
        <v>481</v>
      </c>
      <c r="H20" s="7" t="s">
        <v>482</v>
      </c>
      <c r="I20" s="7" t="s">
        <v>82</v>
      </c>
      <c r="J20" s="7" t="s">
        <v>267</v>
      </c>
      <c r="K20" s="7"/>
      <c r="L20" s="7" t="s">
        <v>328</v>
      </c>
    </row>
    <row r="21" spans="1:12" ht="15.75" customHeight="1">
      <c r="A21" s="7" t="s">
        <v>483</v>
      </c>
      <c r="B21" s="7" t="s">
        <v>152</v>
      </c>
      <c r="C21" s="7" t="s">
        <v>193</v>
      </c>
      <c r="D21" s="7" t="s">
        <v>484</v>
      </c>
      <c r="E21" s="7" t="s">
        <v>413</v>
      </c>
      <c r="F21" s="7" t="s">
        <v>437</v>
      </c>
      <c r="G21" s="7" t="s">
        <v>485</v>
      </c>
      <c r="H21" s="7" t="s">
        <v>486</v>
      </c>
      <c r="I21" s="7" t="s">
        <v>82</v>
      </c>
      <c r="J21" s="7" t="s">
        <v>267</v>
      </c>
      <c r="K21" s="7"/>
      <c r="L21" s="7" t="s">
        <v>328</v>
      </c>
    </row>
    <row r="22" spans="1:12" ht="15.75" customHeight="1">
      <c r="A22" s="7" t="s">
        <v>487</v>
      </c>
      <c r="B22" s="7" t="s">
        <v>152</v>
      </c>
      <c r="C22" s="7" t="s">
        <v>193</v>
      </c>
      <c r="D22" s="7" t="s">
        <v>488</v>
      </c>
      <c r="E22" s="7" t="s">
        <v>417</v>
      </c>
      <c r="F22" s="7" t="s">
        <v>433</v>
      </c>
      <c r="G22" s="7" t="s">
        <v>489</v>
      </c>
      <c r="H22" s="7" t="s">
        <v>490</v>
      </c>
      <c r="I22" s="7" t="s">
        <v>82</v>
      </c>
      <c r="J22" s="7" t="s">
        <v>267</v>
      </c>
      <c r="K22" s="7"/>
      <c r="L22" s="7" t="s">
        <v>328</v>
      </c>
    </row>
    <row r="23" spans="1:12" ht="15.75" customHeight="1">
      <c r="A23" s="7" t="s">
        <v>491</v>
      </c>
      <c r="B23" s="7" t="s">
        <v>152</v>
      </c>
      <c r="C23" s="7" t="s">
        <v>193</v>
      </c>
      <c r="D23" s="7" t="s">
        <v>492</v>
      </c>
      <c r="E23" s="7" t="s">
        <v>417</v>
      </c>
      <c r="F23" s="7" t="s">
        <v>433</v>
      </c>
      <c r="G23" s="7" t="s">
        <v>493</v>
      </c>
      <c r="H23" s="7" t="s">
        <v>494</v>
      </c>
      <c r="I23" s="7" t="s">
        <v>82</v>
      </c>
      <c r="J23" s="7" t="s">
        <v>267</v>
      </c>
      <c r="K23" s="7"/>
      <c r="L23" s="7" t="s">
        <v>328</v>
      </c>
    </row>
    <row r="24" spans="1:12" ht="15.75" customHeight="1">
      <c r="A24" s="7" t="s">
        <v>495</v>
      </c>
      <c r="B24" s="7" t="s">
        <v>152</v>
      </c>
      <c r="C24" s="7" t="s">
        <v>193</v>
      </c>
      <c r="D24" s="7" t="s">
        <v>496</v>
      </c>
      <c r="E24" s="7" t="s">
        <v>470</v>
      </c>
      <c r="F24" s="7" t="s">
        <v>497</v>
      </c>
      <c r="G24" s="7" t="s">
        <v>498</v>
      </c>
      <c r="H24" s="7" t="s">
        <v>499</v>
      </c>
      <c r="I24" s="7" t="s">
        <v>82</v>
      </c>
      <c r="J24" s="7" t="s">
        <v>267</v>
      </c>
      <c r="K24" s="7" t="s">
        <v>355</v>
      </c>
      <c r="L24" s="7" t="s">
        <v>328</v>
      </c>
    </row>
    <row r="25" spans="1:12" ht="15.75" customHeight="1">
      <c r="A25" s="7" t="s">
        <v>500</v>
      </c>
      <c r="B25" s="7" t="s">
        <v>152</v>
      </c>
      <c r="C25" s="7" t="s">
        <v>193</v>
      </c>
      <c r="D25" s="7" t="s">
        <v>501</v>
      </c>
      <c r="E25" s="7" t="s">
        <v>502</v>
      </c>
      <c r="F25" s="7" t="s">
        <v>503</v>
      </c>
      <c r="G25" s="7" t="s">
        <v>504</v>
      </c>
      <c r="H25" s="7" t="s">
        <v>505</v>
      </c>
      <c r="I25" s="7" t="s">
        <v>82</v>
      </c>
      <c r="J25" s="7" t="s">
        <v>267</v>
      </c>
      <c r="K25" s="7" t="s">
        <v>355</v>
      </c>
      <c r="L25" s="7" t="s">
        <v>328</v>
      </c>
    </row>
    <row r="26" spans="1:12" ht="15.75" customHeight="1">
      <c r="A26" s="7" t="s">
        <v>506</v>
      </c>
      <c r="B26" s="7" t="s">
        <v>152</v>
      </c>
      <c r="C26" s="7" t="s">
        <v>193</v>
      </c>
      <c r="D26" s="7" t="s">
        <v>507</v>
      </c>
      <c r="E26" s="7" t="s">
        <v>502</v>
      </c>
      <c r="F26" s="7" t="s">
        <v>508</v>
      </c>
      <c r="G26" s="7" t="s">
        <v>504</v>
      </c>
      <c r="H26" s="7" t="s">
        <v>509</v>
      </c>
      <c r="I26" s="7" t="s">
        <v>82</v>
      </c>
      <c r="J26" s="7" t="s">
        <v>267</v>
      </c>
      <c r="K26" s="7" t="s">
        <v>355</v>
      </c>
      <c r="L26" s="7" t="s">
        <v>328</v>
      </c>
    </row>
    <row r="27" spans="1:12" ht="15.75" customHeight="1">
      <c r="A27" s="7" t="s">
        <v>510</v>
      </c>
      <c r="B27" s="7" t="s">
        <v>188</v>
      </c>
      <c r="C27" s="7" t="s">
        <v>193</v>
      </c>
      <c r="D27" s="7" t="s">
        <v>511</v>
      </c>
      <c r="E27" s="7" t="s">
        <v>512</v>
      </c>
      <c r="F27" s="7" t="s">
        <v>513</v>
      </c>
      <c r="G27" s="7" t="s">
        <v>514</v>
      </c>
      <c r="H27" s="7" t="s">
        <v>515</v>
      </c>
      <c r="I27" s="7" t="s">
        <v>403</v>
      </c>
      <c r="J27" s="7" t="s">
        <v>267</v>
      </c>
      <c r="K27" s="7"/>
      <c r="L27" s="7" t="s">
        <v>404</v>
      </c>
    </row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27">
    <cfRule type="expression" dxfId="57" priority="1">
      <formula>B4="Unit"</formula>
    </cfRule>
    <cfRule type="expression" dxfId="56" priority="2">
      <formula>B4="Integration"</formula>
    </cfRule>
    <cfRule type="expression" dxfId="55" priority="3">
      <formula>B4="System"</formula>
    </cfRule>
    <cfRule type="expression" dxfId="54" priority="4">
      <formula>B4="UAT"</formula>
    </cfRule>
  </conditionalFormatting>
  <dataValidations count="4">
    <dataValidation type="list" allowBlank="1" sqref="B4:B27" xr:uid="{00000000-0002-0000-0300-000000000000}">
      <formula1>"Unit,Integration,System,UAT"</formula1>
    </dataValidation>
    <dataValidation type="list" allowBlank="1" sqref="I4:I27" xr:uid="{00000000-0002-0000-03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27" xr:uid="{00000000-0002-0000-0300-000002000000}">
      <formula1>"No,Yes,Candidate"</formula1>
    </dataValidation>
    <dataValidation type="list" allowBlank="1" sqref="J4:J27" xr:uid="{00000000-0002-0000-03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workbookViewId="0"/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516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517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3</v>
      </c>
      <c r="B3" s="6" t="s">
        <v>254</v>
      </c>
      <c r="C3" s="6" t="s">
        <v>4</v>
      </c>
      <c r="D3" s="6" t="s">
        <v>255</v>
      </c>
      <c r="E3" s="6" t="s">
        <v>256</v>
      </c>
      <c r="F3" s="6" t="s">
        <v>257</v>
      </c>
      <c r="G3" s="6" t="s">
        <v>258</v>
      </c>
      <c r="H3" s="6" t="s">
        <v>259</v>
      </c>
      <c r="I3" s="6" t="s">
        <v>260</v>
      </c>
      <c r="J3" s="6" t="s">
        <v>261</v>
      </c>
      <c r="K3" s="6" t="s">
        <v>12</v>
      </c>
      <c r="L3" s="6" t="s">
        <v>262</v>
      </c>
    </row>
    <row r="4" spans="1:12">
      <c r="A4" s="7" t="s">
        <v>518</v>
      </c>
      <c r="B4" s="7" t="s">
        <v>183</v>
      </c>
      <c r="C4" s="7" t="s">
        <v>195</v>
      </c>
      <c r="D4" s="7" t="s">
        <v>519</v>
      </c>
      <c r="E4" s="7" t="s">
        <v>470</v>
      </c>
      <c r="F4" s="7" t="s">
        <v>15</v>
      </c>
      <c r="G4" s="7" t="s">
        <v>520</v>
      </c>
      <c r="H4" s="7" t="s">
        <v>521</v>
      </c>
      <c r="I4" s="7" t="s">
        <v>82</v>
      </c>
      <c r="J4" s="7" t="s">
        <v>267</v>
      </c>
      <c r="K4" s="7"/>
      <c r="L4" s="7" t="s">
        <v>328</v>
      </c>
    </row>
    <row r="5" spans="1:12">
      <c r="A5" s="7" t="s">
        <v>522</v>
      </c>
      <c r="B5" s="7" t="s">
        <v>183</v>
      </c>
      <c r="C5" s="7" t="s">
        <v>195</v>
      </c>
      <c r="D5" s="7" t="s">
        <v>523</v>
      </c>
      <c r="E5" s="7" t="s">
        <v>524</v>
      </c>
      <c r="F5" s="7" t="s">
        <v>525</v>
      </c>
      <c r="G5" s="7" t="s">
        <v>526</v>
      </c>
      <c r="H5" s="7" t="s">
        <v>527</v>
      </c>
      <c r="I5" s="7" t="s">
        <v>82</v>
      </c>
      <c r="J5" s="7" t="s">
        <v>267</v>
      </c>
      <c r="K5" s="7"/>
      <c r="L5" s="7" t="s">
        <v>328</v>
      </c>
    </row>
    <row r="6" spans="1:12" ht="28.5" customHeight="1">
      <c r="A6" s="7" t="s">
        <v>528</v>
      </c>
      <c r="B6" s="7" t="s">
        <v>152</v>
      </c>
      <c r="C6" s="7" t="s">
        <v>195</v>
      </c>
      <c r="D6" s="7" t="s">
        <v>529</v>
      </c>
      <c r="E6" s="7" t="s">
        <v>524</v>
      </c>
      <c r="F6" s="7" t="s">
        <v>525</v>
      </c>
      <c r="G6" s="7" t="s">
        <v>530</v>
      </c>
      <c r="H6" s="7" t="s">
        <v>531</v>
      </c>
      <c r="I6" s="7" t="s">
        <v>82</v>
      </c>
      <c r="J6" s="7" t="s">
        <v>267</v>
      </c>
      <c r="K6" s="7"/>
      <c r="L6" s="7" t="s">
        <v>328</v>
      </c>
    </row>
    <row r="7" spans="1:12">
      <c r="A7" s="7" t="s">
        <v>532</v>
      </c>
      <c r="B7" s="7" t="s">
        <v>183</v>
      </c>
      <c r="C7" s="7" t="s">
        <v>195</v>
      </c>
      <c r="D7" s="7" t="s">
        <v>533</v>
      </c>
      <c r="E7" s="7" t="s">
        <v>524</v>
      </c>
      <c r="F7" s="7" t="s">
        <v>534</v>
      </c>
      <c r="G7" s="7" t="s">
        <v>526</v>
      </c>
      <c r="H7" s="7" t="s">
        <v>527</v>
      </c>
      <c r="I7" s="7" t="s">
        <v>82</v>
      </c>
      <c r="J7" s="7" t="s">
        <v>267</v>
      </c>
      <c r="K7" s="7"/>
      <c r="L7" s="7" t="s">
        <v>328</v>
      </c>
    </row>
    <row r="8" spans="1:12" ht="28.5" customHeight="1">
      <c r="A8" s="7" t="s">
        <v>535</v>
      </c>
      <c r="B8" s="7" t="s">
        <v>152</v>
      </c>
      <c r="C8" s="7" t="s">
        <v>195</v>
      </c>
      <c r="D8" s="7" t="s">
        <v>536</v>
      </c>
      <c r="E8" s="7" t="s">
        <v>524</v>
      </c>
      <c r="F8" s="7" t="s">
        <v>534</v>
      </c>
      <c r="G8" s="7" t="s">
        <v>537</v>
      </c>
      <c r="H8" s="7" t="s">
        <v>538</v>
      </c>
      <c r="I8" s="7" t="s">
        <v>82</v>
      </c>
      <c r="J8" s="7" t="s">
        <v>267</v>
      </c>
      <c r="K8" s="7"/>
      <c r="L8" s="7" t="s">
        <v>328</v>
      </c>
    </row>
    <row r="9" spans="1:12">
      <c r="A9" s="7" t="s">
        <v>539</v>
      </c>
      <c r="B9" s="7" t="s">
        <v>183</v>
      </c>
      <c r="C9" s="7" t="s">
        <v>195</v>
      </c>
      <c r="D9" s="7" t="s">
        <v>540</v>
      </c>
      <c r="E9" s="7" t="s">
        <v>524</v>
      </c>
      <c r="F9" s="7" t="s">
        <v>541</v>
      </c>
      <c r="G9" s="7" t="s">
        <v>526</v>
      </c>
      <c r="H9" s="7" t="s">
        <v>527</v>
      </c>
      <c r="I9" s="7" t="s">
        <v>82</v>
      </c>
      <c r="J9" s="7" t="s">
        <v>267</v>
      </c>
      <c r="K9" s="7"/>
      <c r="L9" s="7" t="s">
        <v>328</v>
      </c>
    </row>
    <row r="10" spans="1:12" ht="28.5" customHeight="1">
      <c r="A10" s="7" t="s">
        <v>542</v>
      </c>
      <c r="B10" s="7" t="s">
        <v>152</v>
      </c>
      <c r="C10" s="7" t="s">
        <v>195</v>
      </c>
      <c r="D10" s="7" t="s">
        <v>543</v>
      </c>
      <c r="E10" s="7" t="s">
        <v>524</v>
      </c>
      <c r="F10" s="7" t="s">
        <v>541</v>
      </c>
      <c r="G10" s="7" t="s">
        <v>544</v>
      </c>
      <c r="H10" s="7" t="s">
        <v>545</v>
      </c>
      <c r="I10" s="7" t="s">
        <v>82</v>
      </c>
      <c r="J10" s="7" t="s">
        <v>267</v>
      </c>
      <c r="K10" s="7"/>
      <c r="L10" s="7" t="s">
        <v>328</v>
      </c>
    </row>
    <row r="11" spans="1:12">
      <c r="A11" s="7" t="s">
        <v>546</v>
      </c>
      <c r="B11" s="7" t="s">
        <v>183</v>
      </c>
      <c r="C11" s="7" t="s">
        <v>195</v>
      </c>
      <c r="D11" s="7" t="s">
        <v>547</v>
      </c>
      <c r="E11" s="7" t="s">
        <v>524</v>
      </c>
      <c r="F11" s="7" t="s">
        <v>548</v>
      </c>
      <c r="G11" s="7" t="s">
        <v>526</v>
      </c>
      <c r="H11" s="7" t="s">
        <v>527</v>
      </c>
      <c r="I11" s="7" t="s">
        <v>82</v>
      </c>
      <c r="J11" s="7" t="s">
        <v>267</v>
      </c>
      <c r="K11" s="7"/>
      <c r="L11" s="7" t="s">
        <v>328</v>
      </c>
    </row>
    <row r="12" spans="1:12" ht="28.5" customHeight="1">
      <c r="A12" s="7" t="s">
        <v>549</v>
      </c>
      <c r="B12" s="7" t="s">
        <v>152</v>
      </c>
      <c r="C12" s="7" t="s">
        <v>195</v>
      </c>
      <c r="D12" s="7" t="s">
        <v>550</v>
      </c>
      <c r="E12" s="7" t="s">
        <v>524</v>
      </c>
      <c r="F12" s="7" t="s">
        <v>548</v>
      </c>
      <c r="G12" s="7" t="s">
        <v>551</v>
      </c>
      <c r="H12" s="7" t="s">
        <v>552</v>
      </c>
      <c r="I12" s="7" t="s">
        <v>82</v>
      </c>
      <c r="J12" s="7" t="s">
        <v>267</v>
      </c>
      <c r="K12" s="7"/>
      <c r="L12" s="7" t="s">
        <v>328</v>
      </c>
    </row>
    <row r="13" spans="1:12">
      <c r="A13" s="7" t="s">
        <v>553</v>
      </c>
      <c r="B13" s="7" t="s">
        <v>185</v>
      </c>
      <c r="C13" s="7" t="s">
        <v>195</v>
      </c>
      <c r="D13" s="7" t="s">
        <v>554</v>
      </c>
      <c r="E13" s="7" t="s">
        <v>470</v>
      </c>
      <c r="F13" s="7" t="s">
        <v>15</v>
      </c>
      <c r="G13" s="7" t="s">
        <v>555</v>
      </c>
      <c r="H13" s="7" t="s">
        <v>556</v>
      </c>
      <c r="I13" s="7" t="s">
        <v>82</v>
      </c>
      <c r="J13" s="7" t="s">
        <v>267</v>
      </c>
      <c r="K13" s="7"/>
      <c r="L13" s="7" t="s">
        <v>328</v>
      </c>
    </row>
    <row r="14" spans="1:12">
      <c r="A14" s="7" t="s">
        <v>557</v>
      </c>
      <c r="B14" s="7" t="s">
        <v>185</v>
      </c>
      <c r="C14" s="7" t="s">
        <v>195</v>
      </c>
      <c r="D14" s="7" t="s">
        <v>558</v>
      </c>
      <c r="E14" s="7" t="s">
        <v>470</v>
      </c>
      <c r="F14" s="7" t="s">
        <v>15</v>
      </c>
      <c r="G14" s="7" t="s">
        <v>555</v>
      </c>
      <c r="H14" s="7" t="s">
        <v>559</v>
      </c>
      <c r="I14" s="7" t="s">
        <v>82</v>
      </c>
      <c r="J14" s="7" t="s">
        <v>267</v>
      </c>
      <c r="K14" s="7"/>
      <c r="L14" s="7" t="s">
        <v>328</v>
      </c>
    </row>
    <row r="15" spans="1:12" ht="28.5" customHeight="1">
      <c r="A15" s="7" t="s">
        <v>560</v>
      </c>
      <c r="B15" s="7" t="s">
        <v>185</v>
      </c>
      <c r="C15" s="7" t="s">
        <v>195</v>
      </c>
      <c r="D15" s="7" t="s">
        <v>561</v>
      </c>
      <c r="E15" s="7" t="s">
        <v>470</v>
      </c>
      <c r="F15" s="7" t="s">
        <v>15</v>
      </c>
      <c r="G15" s="7" t="s">
        <v>555</v>
      </c>
      <c r="H15" s="7" t="s">
        <v>562</v>
      </c>
      <c r="I15" s="7" t="s">
        <v>82</v>
      </c>
      <c r="J15" s="7" t="s">
        <v>267</v>
      </c>
      <c r="K15" s="7"/>
      <c r="L15" s="7" t="s">
        <v>328</v>
      </c>
    </row>
    <row r="16" spans="1:12" ht="28.5" customHeight="1">
      <c r="A16" s="7" t="s">
        <v>563</v>
      </c>
      <c r="B16" s="7" t="s">
        <v>152</v>
      </c>
      <c r="C16" s="7" t="s">
        <v>195</v>
      </c>
      <c r="D16" s="7" t="s">
        <v>564</v>
      </c>
      <c r="E16" s="7" t="s">
        <v>565</v>
      </c>
      <c r="F16" s="7" t="s">
        <v>566</v>
      </c>
      <c r="G16" s="7" t="s">
        <v>471</v>
      </c>
      <c r="H16" s="7" t="s">
        <v>567</v>
      </c>
      <c r="I16" s="7" t="s">
        <v>82</v>
      </c>
      <c r="J16" s="7" t="s">
        <v>267</v>
      </c>
      <c r="K16" s="7"/>
      <c r="L16" s="7" t="s">
        <v>328</v>
      </c>
    </row>
    <row r="17" spans="1:12">
      <c r="A17" s="7" t="s">
        <v>568</v>
      </c>
      <c r="B17" s="7" t="s">
        <v>188</v>
      </c>
      <c r="C17" s="7" t="s">
        <v>195</v>
      </c>
      <c r="D17" s="7" t="s">
        <v>569</v>
      </c>
      <c r="E17" s="7" t="s">
        <v>413</v>
      </c>
      <c r="F17" s="7" t="s">
        <v>570</v>
      </c>
      <c r="G17" s="7" t="s">
        <v>571</v>
      </c>
      <c r="H17" s="7" t="s">
        <v>572</v>
      </c>
      <c r="I17" s="7" t="s">
        <v>403</v>
      </c>
      <c r="J17" s="7" t="s">
        <v>267</v>
      </c>
      <c r="K17" s="7"/>
      <c r="L17" s="7" t="s">
        <v>404</v>
      </c>
    </row>
    <row r="21" spans="1:12" ht="15.75" customHeight="1"/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7">
    <cfRule type="expression" dxfId="53" priority="1">
      <formula>B4="Unit"</formula>
    </cfRule>
    <cfRule type="expression" dxfId="52" priority="2">
      <formula>B4="Integration"</formula>
    </cfRule>
    <cfRule type="expression" dxfId="51" priority="3">
      <formula>B4="System"</formula>
    </cfRule>
    <cfRule type="expression" dxfId="50" priority="4">
      <formula>B4="UAT"</formula>
    </cfRule>
  </conditionalFormatting>
  <dataValidations count="4">
    <dataValidation type="list" allowBlank="1" sqref="B4:B17" xr:uid="{00000000-0002-0000-0400-000000000000}">
      <formula1>"Unit,Integration,System,UAT"</formula1>
    </dataValidation>
    <dataValidation type="list" allowBlank="1" sqref="I4:I17" xr:uid="{00000000-0002-0000-04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7" xr:uid="{00000000-0002-0000-0400-000002000000}">
      <formula1>"No,Yes,Candidate"</formula1>
    </dataValidation>
    <dataValidation type="list" allowBlank="1" sqref="J4:J17" xr:uid="{00000000-0002-0000-04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workbookViewId="0"/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573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574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3</v>
      </c>
      <c r="B3" s="6" t="s">
        <v>254</v>
      </c>
      <c r="C3" s="6" t="s">
        <v>4</v>
      </c>
      <c r="D3" s="6" t="s">
        <v>255</v>
      </c>
      <c r="E3" s="6" t="s">
        <v>256</v>
      </c>
      <c r="F3" s="6" t="s">
        <v>257</v>
      </c>
      <c r="G3" s="6" t="s">
        <v>258</v>
      </c>
      <c r="H3" s="6" t="s">
        <v>259</v>
      </c>
      <c r="I3" s="6" t="s">
        <v>260</v>
      </c>
      <c r="J3" s="6" t="s">
        <v>261</v>
      </c>
      <c r="K3" s="6" t="s">
        <v>12</v>
      </c>
      <c r="L3" s="6" t="s">
        <v>262</v>
      </c>
    </row>
    <row r="4" spans="1:12">
      <c r="A4" s="7" t="s">
        <v>575</v>
      </c>
      <c r="B4" s="7" t="s">
        <v>183</v>
      </c>
      <c r="C4" s="7" t="s">
        <v>197</v>
      </c>
      <c r="D4" s="7" t="s">
        <v>576</v>
      </c>
      <c r="E4" s="7" t="s">
        <v>577</v>
      </c>
      <c r="F4" s="7" t="s">
        <v>437</v>
      </c>
      <c r="G4" s="7" t="s">
        <v>578</v>
      </c>
      <c r="H4" s="7" t="s">
        <v>579</v>
      </c>
      <c r="I4" s="7" t="s">
        <v>82</v>
      </c>
      <c r="J4" s="7" t="s">
        <v>267</v>
      </c>
      <c r="K4" s="7"/>
      <c r="L4" s="7" t="s">
        <v>328</v>
      </c>
    </row>
    <row r="5" spans="1:12">
      <c r="A5" s="7" t="s">
        <v>580</v>
      </c>
      <c r="B5" s="7" t="s">
        <v>183</v>
      </c>
      <c r="C5" s="7" t="s">
        <v>197</v>
      </c>
      <c r="D5" s="7" t="s">
        <v>581</v>
      </c>
      <c r="E5" s="7" t="s">
        <v>577</v>
      </c>
      <c r="F5" s="7" t="s">
        <v>437</v>
      </c>
      <c r="G5" s="7" t="s">
        <v>578</v>
      </c>
      <c r="H5" s="7" t="s">
        <v>582</v>
      </c>
      <c r="I5" s="7" t="s">
        <v>82</v>
      </c>
      <c r="J5" s="7" t="s">
        <v>267</v>
      </c>
      <c r="K5" s="7"/>
      <c r="L5" s="7" t="s">
        <v>328</v>
      </c>
    </row>
    <row r="6" spans="1:12">
      <c r="A6" s="7" t="s">
        <v>583</v>
      </c>
      <c r="B6" s="7" t="s">
        <v>183</v>
      </c>
      <c r="C6" s="7" t="s">
        <v>197</v>
      </c>
      <c r="D6" s="7" t="s">
        <v>584</v>
      </c>
      <c r="E6" s="7" t="s">
        <v>577</v>
      </c>
      <c r="F6" s="7" t="s">
        <v>437</v>
      </c>
      <c r="G6" s="7" t="s">
        <v>578</v>
      </c>
      <c r="H6" s="7" t="s">
        <v>585</v>
      </c>
      <c r="I6" s="7" t="s">
        <v>82</v>
      </c>
      <c r="J6" s="7" t="s">
        <v>267</v>
      </c>
      <c r="K6" s="7"/>
      <c r="L6" s="7" t="s">
        <v>328</v>
      </c>
    </row>
    <row r="7" spans="1:12">
      <c r="A7" s="7" t="s">
        <v>586</v>
      </c>
      <c r="B7" s="7" t="s">
        <v>183</v>
      </c>
      <c r="C7" s="7" t="s">
        <v>197</v>
      </c>
      <c r="D7" s="7" t="s">
        <v>587</v>
      </c>
      <c r="E7" s="7" t="s">
        <v>577</v>
      </c>
      <c r="F7" s="7" t="s">
        <v>437</v>
      </c>
      <c r="G7" s="7" t="s">
        <v>578</v>
      </c>
      <c r="H7" s="7" t="s">
        <v>588</v>
      </c>
      <c r="I7" s="7" t="s">
        <v>82</v>
      </c>
      <c r="J7" s="7" t="s">
        <v>267</v>
      </c>
      <c r="K7" s="7"/>
      <c r="L7" s="7" t="s">
        <v>328</v>
      </c>
    </row>
    <row r="8" spans="1:12">
      <c r="A8" s="7" t="s">
        <v>589</v>
      </c>
      <c r="B8" s="7" t="s">
        <v>183</v>
      </c>
      <c r="C8" s="7" t="s">
        <v>197</v>
      </c>
      <c r="D8" s="7" t="s">
        <v>590</v>
      </c>
      <c r="E8" s="7" t="s">
        <v>577</v>
      </c>
      <c r="F8" s="7" t="s">
        <v>437</v>
      </c>
      <c r="G8" s="7" t="s">
        <v>578</v>
      </c>
      <c r="H8" s="7" t="s">
        <v>591</v>
      </c>
      <c r="I8" s="7" t="s">
        <v>82</v>
      </c>
      <c r="J8" s="7" t="s">
        <v>267</v>
      </c>
      <c r="K8" s="7"/>
      <c r="L8" s="7" t="s">
        <v>328</v>
      </c>
    </row>
    <row r="9" spans="1:12" ht="28.5" customHeight="1">
      <c r="A9" s="7" t="s">
        <v>592</v>
      </c>
      <c r="B9" s="7" t="s">
        <v>183</v>
      </c>
      <c r="C9" s="7" t="s">
        <v>197</v>
      </c>
      <c r="D9" s="7" t="s">
        <v>593</v>
      </c>
      <c r="E9" s="7" t="s">
        <v>577</v>
      </c>
      <c r="F9" s="7" t="s">
        <v>437</v>
      </c>
      <c r="G9" s="7" t="s">
        <v>578</v>
      </c>
      <c r="H9" s="7" t="s">
        <v>594</v>
      </c>
      <c r="I9" s="7" t="s">
        <v>82</v>
      </c>
      <c r="J9" s="7" t="s">
        <v>267</v>
      </c>
      <c r="K9" s="7"/>
      <c r="L9" s="7" t="s">
        <v>328</v>
      </c>
    </row>
    <row r="10" spans="1:12" ht="28.5" customHeight="1">
      <c r="A10" s="7" t="s">
        <v>595</v>
      </c>
      <c r="B10" s="7" t="s">
        <v>185</v>
      </c>
      <c r="C10" s="7" t="s">
        <v>197</v>
      </c>
      <c r="D10" s="7" t="s">
        <v>596</v>
      </c>
      <c r="E10" s="7" t="s">
        <v>597</v>
      </c>
      <c r="F10" s="7" t="s">
        <v>460</v>
      </c>
      <c r="G10" s="7" t="s">
        <v>598</v>
      </c>
      <c r="H10" s="7" t="s">
        <v>599</v>
      </c>
      <c r="I10" s="7" t="s">
        <v>82</v>
      </c>
      <c r="J10" s="7" t="s">
        <v>267</v>
      </c>
      <c r="K10" s="7"/>
      <c r="L10" s="7" t="s">
        <v>328</v>
      </c>
    </row>
    <row r="11" spans="1:12">
      <c r="A11" s="7" t="s">
        <v>600</v>
      </c>
      <c r="B11" s="7" t="s">
        <v>185</v>
      </c>
      <c r="C11" s="7" t="s">
        <v>197</v>
      </c>
      <c r="D11" s="7" t="s">
        <v>601</v>
      </c>
      <c r="E11" s="7" t="s">
        <v>602</v>
      </c>
      <c r="F11" s="7" t="s">
        <v>460</v>
      </c>
      <c r="G11" s="7" t="s">
        <v>603</v>
      </c>
      <c r="H11" s="7" t="s">
        <v>604</v>
      </c>
      <c r="I11" s="7" t="s">
        <v>82</v>
      </c>
      <c r="J11" s="7" t="s">
        <v>267</v>
      </c>
      <c r="K11" s="7"/>
      <c r="L11" s="7" t="s">
        <v>328</v>
      </c>
    </row>
    <row r="12" spans="1:12" ht="28.5" customHeight="1">
      <c r="A12" s="7" t="s">
        <v>605</v>
      </c>
      <c r="B12" s="7" t="s">
        <v>185</v>
      </c>
      <c r="C12" s="7" t="s">
        <v>197</v>
      </c>
      <c r="D12" s="7" t="s">
        <v>606</v>
      </c>
      <c r="E12" s="7" t="s">
        <v>597</v>
      </c>
      <c r="F12" s="7" t="s">
        <v>607</v>
      </c>
      <c r="G12" s="7" t="s">
        <v>608</v>
      </c>
      <c r="H12" s="7" t="s">
        <v>599</v>
      </c>
      <c r="I12" s="7" t="s">
        <v>82</v>
      </c>
      <c r="J12" s="7" t="s">
        <v>267</v>
      </c>
      <c r="K12" s="7"/>
      <c r="L12" s="7" t="s">
        <v>328</v>
      </c>
    </row>
    <row r="13" spans="1:12" ht="28.5" customHeight="1">
      <c r="A13" s="7" t="s">
        <v>609</v>
      </c>
      <c r="B13" s="7" t="s">
        <v>185</v>
      </c>
      <c r="C13" s="7" t="s">
        <v>197</v>
      </c>
      <c r="D13" s="7" t="s">
        <v>610</v>
      </c>
      <c r="E13" s="7" t="s">
        <v>602</v>
      </c>
      <c r="F13" s="7" t="s">
        <v>607</v>
      </c>
      <c r="G13" s="7" t="s">
        <v>603</v>
      </c>
      <c r="H13" s="7" t="s">
        <v>604</v>
      </c>
      <c r="I13" s="7" t="s">
        <v>82</v>
      </c>
      <c r="J13" s="7" t="s">
        <v>267</v>
      </c>
      <c r="K13" s="7"/>
      <c r="L13" s="7" t="s">
        <v>328</v>
      </c>
    </row>
    <row r="14" spans="1:12">
      <c r="A14" s="7" t="s">
        <v>611</v>
      </c>
      <c r="B14" s="7" t="s">
        <v>152</v>
      </c>
      <c r="C14" s="7" t="s">
        <v>197</v>
      </c>
      <c r="D14" s="7" t="s">
        <v>612</v>
      </c>
      <c r="E14" s="7" t="s">
        <v>613</v>
      </c>
      <c r="F14" s="7" t="s">
        <v>437</v>
      </c>
      <c r="G14" s="7" t="s">
        <v>614</v>
      </c>
      <c r="H14" s="7" t="s">
        <v>615</v>
      </c>
      <c r="I14" s="7" t="s">
        <v>82</v>
      </c>
      <c r="J14" s="7" t="s">
        <v>267</v>
      </c>
      <c r="K14" s="7"/>
      <c r="L14" s="7" t="s">
        <v>328</v>
      </c>
    </row>
    <row r="15" spans="1:12">
      <c r="A15" s="7" t="s">
        <v>616</v>
      </c>
      <c r="B15" s="7" t="s">
        <v>152</v>
      </c>
      <c r="C15" s="7" t="s">
        <v>197</v>
      </c>
      <c r="D15" s="7" t="s">
        <v>617</v>
      </c>
      <c r="E15" s="7" t="s">
        <v>618</v>
      </c>
      <c r="F15" s="7" t="s">
        <v>437</v>
      </c>
      <c r="G15" s="7" t="s">
        <v>619</v>
      </c>
      <c r="H15" s="7" t="s">
        <v>620</v>
      </c>
      <c r="I15" s="7" t="s">
        <v>82</v>
      </c>
      <c r="J15" s="7" t="s">
        <v>267</v>
      </c>
      <c r="K15" s="7"/>
      <c r="L15" s="7" t="s">
        <v>328</v>
      </c>
    </row>
    <row r="16" spans="1:12">
      <c r="A16" s="7" t="s">
        <v>621</v>
      </c>
      <c r="B16" s="7" t="s">
        <v>152</v>
      </c>
      <c r="C16" s="7" t="s">
        <v>197</v>
      </c>
      <c r="D16" s="7" t="s">
        <v>622</v>
      </c>
      <c r="E16" s="7" t="s">
        <v>623</v>
      </c>
      <c r="F16" s="7" t="s">
        <v>15</v>
      </c>
      <c r="G16" s="7" t="s">
        <v>624</v>
      </c>
      <c r="H16" s="7" t="s">
        <v>625</v>
      </c>
      <c r="I16" s="7" t="s">
        <v>82</v>
      </c>
      <c r="J16" s="7" t="s">
        <v>267</v>
      </c>
      <c r="K16" s="7"/>
      <c r="L16" s="7" t="s">
        <v>328</v>
      </c>
    </row>
    <row r="17" spans="1:12">
      <c r="A17" s="7" t="s">
        <v>626</v>
      </c>
      <c r="B17" s="7" t="s">
        <v>152</v>
      </c>
      <c r="C17" s="7" t="s">
        <v>197</v>
      </c>
      <c r="D17" s="7" t="s">
        <v>627</v>
      </c>
      <c r="E17" s="7" t="s">
        <v>413</v>
      </c>
      <c r="F17" s="7" t="s">
        <v>628</v>
      </c>
      <c r="G17" s="7" t="s">
        <v>395</v>
      </c>
      <c r="H17" s="7" t="s">
        <v>629</v>
      </c>
      <c r="I17" s="7" t="s">
        <v>82</v>
      </c>
      <c r="J17" s="7" t="s">
        <v>267</v>
      </c>
      <c r="K17" s="7"/>
      <c r="L17" s="7" t="s">
        <v>328</v>
      </c>
    </row>
    <row r="18" spans="1:12" ht="28.5" customHeight="1">
      <c r="A18" s="7" t="s">
        <v>630</v>
      </c>
      <c r="B18" s="7" t="s">
        <v>152</v>
      </c>
      <c r="C18" s="7" t="s">
        <v>197</v>
      </c>
      <c r="D18" s="7" t="s">
        <v>631</v>
      </c>
      <c r="E18" s="7" t="s">
        <v>623</v>
      </c>
      <c r="F18" s="7" t="s">
        <v>437</v>
      </c>
      <c r="G18" s="7" t="s">
        <v>632</v>
      </c>
      <c r="H18" s="7" t="s">
        <v>633</v>
      </c>
      <c r="I18" s="7" t="s">
        <v>82</v>
      </c>
      <c r="J18" s="7" t="s">
        <v>267</v>
      </c>
      <c r="K18" s="7" t="s">
        <v>355</v>
      </c>
      <c r="L18" s="7" t="s">
        <v>328</v>
      </c>
    </row>
    <row r="19" spans="1:12" ht="28.5" customHeight="1">
      <c r="A19" s="7" t="s">
        <v>634</v>
      </c>
      <c r="B19" s="7" t="s">
        <v>188</v>
      </c>
      <c r="C19" s="7" t="s">
        <v>197</v>
      </c>
      <c r="D19" s="7" t="s">
        <v>635</v>
      </c>
      <c r="E19" s="7" t="s">
        <v>512</v>
      </c>
      <c r="F19" s="7" t="s">
        <v>636</v>
      </c>
      <c r="G19" s="7" t="s">
        <v>514</v>
      </c>
      <c r="H19" s="7" t="s">
        <v>637</v>
      </c>
      <c r="I19" s="7" t="s">
        <v>403</v>
      </c>
      <c r="J19" s="7" t="s">
        <v>267</v>
      </c>
      <c r="K19" s="7"/>
      <c r="L19" s="7" t="s">
        <v>404</v>
      </c>
    </row>
    <row r="21" spans="1:12" ht="15.75" customHeight="1"/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9">
    <cfRule type="expression" dxfId="49" priority="1">
      <formula>B4="Unit"</formula>
    </cfRule>
    <cfRule type="expression" dxfId="48" priority="2">
      <formula>B4="Integration"</formula>
    </cfRule>
    <cfRule type="expression" dxfId="47" priority="3">
      <formula>B4="System"</formula>
    </cfRule>
    <cfRule type="expression" dxfId="46" priority="4">
      <formula>B4="UAT"</formula>
    </cfRule>
  </conditionalFormatting>
  <dataValidations count="4">
    <dataValidation type="list" allowBlank="1" sqref="B4:B19" xr:uid="{00000000-0002-0000-0500-000000000000}">
      <formula1>"Unit,Integration,System,UAT"</formula1>
    </dataValidation>
    <dataValidation type="list" allowBlank="1" sqref="I4:I19" xr:uid="{00000000-0002-0000-05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9" xr:uid="{00000000-0002-0000-0500-000002000000}">
      <formula1>"No,Yes,Candidate"</formula1>
    </dataValidation>
    <dataValidation type="list" allowBlank="1" sqref="J4:J19" xr:uid="{00000000-0002-0000-05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638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639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3</v>
      </c>
      <c r="B3" s="6" t="s">
        <v>254</v>
      </c>
      <c r="C3" s="6" t="s">
        <v>4</v>
      </c>
      <c r="D3" s="6" t="s">
        <v>255</v>
      </c>
      <c r="E3" s="6" t="s">
        <v>256</v>
      </c>
      <c r="F3" s="6" t="s">
        <v>257</v>
      </c>
      <c r="G3" s="6" t="s">
        <v>258</v>
      </c>
      <c r="H3" s="6" t="s">
        <v>259</v>
      </c>
      <c r="I3" s="6" t="s">
        <v>260</v>
      </c>
      <c r="J3" s="6" t="s">
        <v>261</v>
      </c>
      <c r="K3" s="6" t="s">
        <v>12</v>
      </c>
      <c r="L3" s="6" t="s">
        <v>262</v>
      </c>
    </row>
    <row r="4" spans="1:12">
      <c r="A4" s="7" t="s">
        <v>640</v>
      </c>
      <c r="B4" s="7" t="s">
        <v>183</v>
      </c>
      <c r="C4" s="7" t="s">
        <v>199</v>
      </c>
      <c r="D4" s="7" t="s">
        <v>641</v>
      </c>
      <c r="E4" s="7" t="s">
        <v>642</v>
      </c>
      <c r="F4" s="7" t="s">
        <v>643</v>
      </c>
      <c r="G4" s="7" t="s">
        <v>644</v>
      </c>
      <c r="H4" s="7" t="s">
        <v>645</v>
      </c>
      <c r="I4" s="7" t="s">
        <v>82</v>
      </c>
      <c r="J4" s="7" t="s">
        <v>267</v>
      </c>
      <c r="K4" s="7"/>
      <c r="L4" s="7" t="s">
        <v>328</v>
      </c>
    </row>
    <row r="5" spans="1:12">
      <c r="A5" s="7" t="s">
        <v>646</v>
      </c>
      <c r="B5" s="7" t="s">
        <v>183</v>
      </c>
      <c r="C5" s="7" t="s">
        <v>199</v>
      </c>
      <c r="D5" s="7" t="s">
        <v>647</v>
      </c>
      <c r="E5" s="7" t="s">
        <v>642</v>
      </c>
      <c r="F5" s="7" t="s">
        <v>643</v>
      </c>
      <c r="G5" s="7" t="s">
        <v>644</v>
      </c>
      <c r="H5" s="7" t="s">
        <v>648</v>
      </c>
      <c r="I5" s="7" t="s">
        <v>82</v>
      </c>
      <c r="J5" s="7" t="s">
        <v>267</v>
      </c>
      <c r="K5" s="7"/>
      <c r="L5" s="7" t="s">
        <v>328</v>
      </c>
    </row>
    <row r="6" spans="1:12">
      <c r="A6" s="7" t="s">
        <v>649</v>
      </c>
      <c r="B6" s="7" t="s">
        <v>183</v>
      </c>
      <c r="C6" s="7" t="s">
        <v>199</v>
      </c>
      <c r="D6" s="7" t="s">
        <v>650</v>
      </c>
      <c r="E6" s="7" t="s">
        <v>642</v>
      </c>
      <c r="F6" s="7" t="s">
        <v>643</v>
      </c>
      <c r="G6" s="7" t="s">
        <v>644</v>
      </c>
      <c r="H6" s="7" t="s">
        <v>651</v>
      </c>
      <c r="I6" s="7" t="s">
        <v>82</v>
      </c>
      <c r="J6" s="7" t="s">
        <v>267</v>
      </c>
      <c r="K6" s="7"/>
      <c r="L6" s="7" t="s">
        <v>328</v>
      </c>
    </row>
    <row r="7" spans="1:12">
      <c r="A7" s="7" t="s">
        <v>652</v>
      </c>
      <c r="B7" s="7" t="s">
        <v>183</v>
      </c>
      <c r="C7" s="7" t="s">
        <v>199</v>
      </c>
      <c r="D7" s="7" t="s">
        <v>653</v>
      </c>
      <c r="E7" s="7" t="s">
        <v>642</v>
      </c>
      <c r="F7" s="7" t="s">
        <v>643</v>
      </c>
      <c r="G7" s="7" t="s">
        <v>644</v>
      </c>
      <c r="H7" s="7" t="s">
        <v>654</v>
      </c>
      <c r="I7" s="7" t="s">
        <v>82</v>
      </c>
      <c r="J7" s="7" t="s">
        <v>267</v>
      </c>
      <c r="K7" s="7"/>
      <c r="L7" s="7" t="s">
        <v>328</v>
      </c>
    </row>
    <row r="8" spans="1:12">
      <c r="A8" s="7" t="s">
        <v>655</v>
      </c>
      <c r="B8" s="7" t="s">
        <v>183</v>
      </c>
      <c r="C8" s="7" t="s">
        <v>199</v>
      </c>
      <c r="D8" s="7" t="s">
        <v>656</v>
      </c>
      <c r="E8" s="7" t="s">
        <v>642</v>
      </c>
      <c r="F8" s="7" t="s">
        <v>643</v>
      </c>
      <c r="G8" s="7" t="s">
        <v>644</v>
      </c>
      <c r="H8" s="7" t="s">
        <v>657</v>
      </c>
      <c r="I8" s="7" t="s">
        <v>82</v>
      </c>
      <c r="J8" s="7" t="s">
        <v>267</v>
      </c>
      <c r="K8" s="7"/>
      <c r="L8" s="7" t="s">
        <v>328</v>
      </c>
    </row>
    <row r="9" spans="1:12">
      <c r="A9" s="7" t="s">
        <v>658</v>
      </c>
      <c r="B9" s="7" t="s">
        <v>183</v>
      </c>
      <c r="C9" s="7" t="s">
        <v>199</v>
      </c>
      <c r="D9" s="7" t="s">
        <v>659</v>
      </c>
      <c r="E9" s="7" t="s">
        <v>642</v>
      </c>
      <c r="F9" s="7" t="s">
        <v>643</v>
      </c>
      <c r="G9" s="7" t="s">
        <v>644</v>
      </c>
      <c r="H9" s="7" t="s">
        <v>582</v>
      </c>
      <c r="I9" s="7" t="s">
        <v>82</v>
      </c>
      <c r="J9" s="7" t="s">
        <v>267</v>
      </c>
      <c r="K9" s="7"/>
      <c r="L9" s="7" t="s">
        <v>328</v>
      </c>
    </row>
    <row r="10" spans="1:12">
      <c r="A10" s="7" t="s">
        <v>660</v>
      </c>
      <c r="B10" s="7" t="s">
        <v>183</v>
      </c>
      <c r="C10" s="7" t="s">
        <v>199</v>
      </c>
      <c r="D10" s="7" t="s">
        <v>661</v>
      </c>
      <c r="E10" s="7" t="s">
        <v>642</v>
      </c>
      <c r="F10" s="7" t="s">
        <v>643</v>
      </c>
      <c r="G10" s="7" t="s">
        <v>644</v>
      </c>
      <c r="H10" s="7" t="s">
        <v>662</v>
      </c>
      <c r="I10" s="7" t="s">
        <v>82</v>
      </c>
      <c r="J10" s="7" t="s">
        <v>267</v>
      </c>
      <c r="K10" s="7"/>
      <c r="L10" s="7" t="s">
        <v>328</v>
      </c>
    </row>
    <row r="11" spans="1:12">
      <c r="A11" s="7" t="s">
        <v>663</v>
      </c>
      <c r="B11" s="7" t="s">
        <v>183</v>
      </c>
      <c r="C11" s="7" t="s">
        <v>199</v>
      </c>
      <c r="D11" s="7" t="s">
        <v>664</v>
      </c>
      <c r="E11" s="7" t="s">
        <v>642</v>
      </c>
      <c r="F11" s="7" t="s">
        <v>643</v>
      </c>
      <c r="G11" s="7" t="s">
        <v>644</v>
      </c>
      <c r="H11" s="7" t="s">
        <v>665</v>
      </c>
      <c r="I11" s="7" t="s">
        <v>82</v>
      </c>
      <c r="J11" s="7" t="s">
        <v>267</v>
      </c>
      <c r="K11" s="7"/>
      <c r="L11" s="7" t="s">
        <v>328</v>
      </c>
    </row>
    <row r="12" spans="1:12" ht="28.5" customHeight="1">
      <c r="A12" s="7" t="s">
        <v>666</v>
      </c>
      <c r="B12" s="7" t="s">
        <v>185</v>
      </c>
      <c r="C12" s="7" t="s">
        <v>199</v>
      </c>
      <c r="D12" s="7" t="s">
        <v>667</v>
      </c>
      <c r="E12" s="7" t="s">
        <v>668</v>
      </c>
      <c r="F12" s="7" t="s">
        <v>460</v>
      </c>
      <c r="G12" s="7" t="s">
        <v>669</v>
      </c>
      <c r="H12" s="7" t="s">
        <v>670</v>
      </c>
      <c r="I12" s="7" t="s">
        <v>82</v>
      </c>
      <c r="J12" s="7" t="s">
        <v>267</v>
      </c>
      <c r="K12" s="7"/>
      <c r="L12" s="7" t="s">
        <v>328</v>
      </c>
    </row>
    <row r="13" spans="1:12" ht="28.5" customHeight="1">
      <c r="A13" s="7" t="s">
        <v>671</v>
      </c>
      <c r="B13" s="7" t="s">
        <v>185</v>
      </c>
      <c r="C13" s="7" t="s">
        <v>199</v>
      </c>
      <c r="D13" s="7" t="s">
        <v>672</v>
      </c>
      <c r="E13" s="7" t="s">
        <v>673</v>
      </c>
      <c r="F13" s="7" t="s">
        <v>460</v>
      </c>
      <c r="G13" s="7" t="s">
        <v>674</v>
      </c>
      <c r="H13" s="7" t="s">
        <v>675</v>
      </c>
      <c r="I13" s="7" t="s">
        <v>82</v>
      </c>
      <c r="J13" s="7" t="s">
        <v>267</v>
      </c>
      <c r="K13" s="7"/>
      <c r="L13" s="7" t="s">
        <v>328</v>
      </c>
    </row>
    <row r="14" spans="1:12">
      <c r="A14" s="7" t="s">
        <v>676</v>
      </c>
      <c r="B14" s="7" t="s">
        <v>152</v>
      </c>
      <c r="C14" s="7" t="s">
        <v>199</v>
      </c>
      <c r="D14" s="7" t="s">
        <v>677</v>
      </c>
      <c r="E14" s="7" t="s">
        <v>678</v>
      </c>
      <c r="F14" s="7" t="s">
        <v>15</v>
      </c>
      <c r="G14" s="7" t="s">
        <v>679</v>
      </c>
      <c r="H14" s="7" t="s">
        <v>680</v>
      </c>
      <c r="I14" s="7" t="s">
        <v>82</v>
      </c>
      <c r="J14" s="7" t="s">
        <v>267</v>
      </c>
      <c r="K14" s="7"/>
      <c r="L14" s="7" t="s">
        <v>328</v>
      </c>
    </row>
    <row r="15" spans="1:12" ht="28.5" customHeight="1">
      <c r="A15" s="7" t="s">
        <v>681</v>
      </c>
      <c r="B15" s="7" t="s">
        <v>152</v>
      </c>
      <c r="C15" s="7" t="s">
        <v>199</v>
      </c>
      <c r="D15" s="7" t="s">
        <v>682</v>
      </c>
      <c r="E15" s="7" t="s">
        <v>678</v>
      </c>
      <c r="F15" s="7" t="s">
        <v>15</v>
      </c>
      <c r="G15" s="7" t="s">
        <v>683</v>
      </c>
      <c r="H15" s="7" t="s">
        <v>684</v>
      </c>
      <c r="I15" s="7" t="s">
        <v>82</v>
      </c>
      <c r="J15" s="7" t="s">
        <v>267</v>
      </c>
      <c r="K15" s="7"/>
      <c r="L15" s="7" t="s">
        <v>328</v>
      </c>
    </row>
    <row r="16" spans="1:12">
      <c r="A16" s="7" t="s">
        <v>685</v>
      </c>
      <c r="B16" s="7" t="s">
        <v>152</v>
      </c>
      <c r="C16" s="7" t="s">
        <v>199</v>
      </c>
      <c r="D16" s="7" t="s">
        <v>686</v>
      </c>
      <c r="E16" s="7" t="s">
        <v>687</v>
      </c>
      <c r="F16" s="7" t="s">
        <v>688</v>
      </c>
      <c r="G16" s="7" t="s">
        <v>683</v>
      </c>
      <c r="H16" s="7" t="s">
        <v>689</v>
      </c>
      <c r="I16" s="7" t="s">
        <v>82</v>
      </c>
      <c r="J16" s="7" t="s">
        <v>267</v>
      </c>
      <c r="K16" s="7"/>
      <c r="L16" s="7" t="s">
        <v>328</v>
      </c>
    </row>
    <row r="17" spans="1:12" ht="28.5" customHeight="1">
      <c r="A17" s="7" t="s">
        <v>690</v>
      </c>
      <c r="B17" s="7" t="s">
        <v>152</v>
      </c>
      <c r="C17" s="7" t="s">
        <v>199</v>
      </c>
      <c r="D17" s="7" t="s">
        <v>691</v>
      </c>
      <c r="E17" s="7" t="s">
        <v>692</v>
      </c>
      <c r="F17" s="7" t="s">
        <v>688</v>
      </c>
      <c r="G17" s="7" t="s">
        <v>693</v>
      </c>
      <c r="H17" s="7" t="s">
        <v>694</v>
      </c>
      <c r="I17" s="7" t="s">
        <v>82</v>
      </c>
      <c r="J17" s="7" t="s">
        <v>267</v>
      </c>
      <c r="K17" s="7"/>
      <c r="L17" s="7" t="s">
        <v>328</v>
      </c>
    </row>
    <row r="18" spans="1:12">
      <c r="A18" s="7" t="s">
        <v>695</v>
      </c>
      <c r="B18" s="7" t="s">
        <v>152</v>
      </c>
      <c r="C18" s="7" t="s">
        <v>199</v>
      </c>
      <c r="D18" s="7" t="s">
        <v>696</v>
      </c>
      <c r="E18" s="7" t="s">
        <v>697</v>
      </c>
      <c r="F18" s="7" t="s">
        <v>15</v>
      </c>
      <c r="G18" s="7" t="s">
        <v>698</v>
      </c>
      <c r="H18" s="7" t="s">
        <v>625</v>
      </c>
      <c r="I18" s="7" t="s">
        <v>82</v>
      </c>
      <c r="J18" s="7" t="s">
        <v>267</v>
      </c>
      <c r="K18" s="7"/>
      <c r="L18" s="7" t="s">
        <v>328</v>
      </c>
    </row>
    <row r="19" spans="1:12" ht="28.5" customHeight="1">
      <c r="A19" s="7" t="s">
        <v>699</v>
      </c>
      <c r="B19" s="7" t="s">
        <v>152</v>
      </c>
      <c r="C19" s="7" t="s">
        <v>199</v>
      </c>
      <c r="D19" s="7" t="s">
        <v>700</v>
      </c>
      <c r="E19" s="7" t="s">
        <v>701</v>
      </c>
      <c r="F19" s="7" t="s">
        <v>702</v>
      </c>
      <c r="G19" s="7" t="s">
        <v>703</v>
      </c>
      <c r="H19" s="7" t="s">
        <v>704</v>
      </c>
      <c r="I19" s="7" t="s">
        <v>82</v>
      </c>
      <c r="J19" s="7" t="s">
        <v>267</v>
      </c>
      <c r="K19" s="7"/>
      <c r="L19" s="7" t="s">
        <v>328</v>
      </c>
    </row>
    <row r="20" spans="1:12">
      <c r="A20" s="7" t="s">
        <v>705</v>
      </c>
      <c r="B20" s="7" t="s">
        <v>152</v>
      </c>
      <c r="C20" s="7" t="s">
        <v>199</v>
      </c>
      <c r="D20" s="7" t="s">
        <v>706</v>
      </c>
      <c r="E20" s="7" t="s">
        <v>707</v>
      </c>
      <c r="F20" s="7" t="s">
        <v>708</v>
      </c>
      <c r="G20" s="7" t="s">
        <v>709</v>
      </c>
      <c r="H20" s="7" t="s">
        <v>710</v>
      </c>
      <c r="I20" s="7" t="s">
        <v>82</v>
      </c>
      <c r="J20" s="7" t="s">
        <v>267</v>
      </c>
      <c r="K20" s="7"/>
      <c r="L20" s="7" t="s">
        <v>328</v>
      </c>
    </row>
    <row r="21" spans="1:12" ht="15.75" customHeight="1">
      <c r="A21" s="7" t="s">
        <v>711</v>
      </c>
      <c r="B21" s="7" t="s">
        <v>152</v>
      </c>
      <c r="C21" s="7" t="s">
        <v>199</v>
      </c>
      <c r="D21" s="7" t="s">
        <v>712</v>
      </c>
      <c r="E21" s="7" t="s">
        <v>713</v>
      </c>
      <c r="F21" s="7" t="s">
        <v>15</v>
      </c>
      <c r="G21" s="7" t="s">
        <v>714</v>
      </c>
      <c r="H21" s="7" t="s">
        <v>715</v>
      </c>
      <c r="I21" s="7" t="s">
        <v>82</v>
      </c>
      <c r="J21" s="7" t="s">
        <v>267</v>
      </c>
      <c r="K21" s="7"/>
      <c r="L21" s="7" t="s">
        <v>328</v>
      </c>
    </row>
    <row r="22" spans="1:12" ht="15.75" customHeight="1">
      <c r="A22" s="7" t="s">
        <v>716</v>
      </c>
      <c r="B22" s="7" t="s">
        <v>152</v>
      </c>
      <c r="C22" s="7" t="s">
        <v>199</v>
      </c>
      <c r="D22" s="7" t="s">
        <v>717</v>
      </c>
      <c r="E22" s="7" t="s">
        <v>718</v>
      </c>
      <c r="F22" s="7" t="s">
        <v>15</v>
      </c>
      <c r="G22" s="7" t="s">
        <v>714</v>
      </c>
      <c r="H22" s="7" t="s">
        <v>719</v>
      </c>
      <c r="I22" s="7" t="s">
        <v>82</v>
      </c>
      <c r="J22" s="7" t="s">
        <v>267</v>
      </c>
      <c r="K22" s="7"/>
      <c r="L22" s="7" t="s">
        <v>328</v>
      </c>
    </row>
    <row r="23" spans="1:12" ht="15.75" customHeight="1">
      <c r="A23" s="7" t="s">
        <v>720</v>
      </c>
      <c r="B23" s="7" t="s">
        <v>152</v>
      </c>
      <c r="C23" s="7" t="s">
        <v>199</v>
      </c>
      <c r="D23" s="7" t="s">
        <v>721</v>
      </c>
      <c r="E23" s="7" t="s">
        <v>722</v>
      </c>
      <c r="F23" s="7" t="s">
        <v>723</v>
      </c>
      <c r="G23" s="7" t="s">
        <v>724</v>
      </c>
      <c r="H23" s="7" t="s">
        <v>725</v>
      </c>
      <c r="I23" s="7" t="s">
        <v>82</v>
      </c>
      <c r="J23" s="7" t="s">
        <v>267</v>
      </c>
      <c r="K23" s="7" t="s">
        <v>355</v>
      </c>
      <c r="L23" s="7" t="s">
        <v>328</v>
      </c>
    </row>
    <row r="24" spans="1:12" ht="15.75" customHeight="1">
      <c r="A24" s="7" t="s">
        <v>726</v>
      </c>
      <c r="B24" s="7" t="s">
        <v>188</v>
      </c>
      <c r="C24" s="7" t="s">
        <v>199</v>
      </c>
      <c r="D24" s="7" t="s">
        <v>727</v>
      </c>
      <c r="E24" s="7" t="s">
        <v>728</v>
      </c>
      <c r="F24" s="7" t="s">
        <v>729</v>
      </c>
      <c r="G24" s="7" t="s">
        <v>514</v>
      </c>
      <c r="H24" s="7" t="s">
        <v>730</v>
      </c>
      <c r="I24" s="7" t="s">
        <v>403</v>
      </c>
      <c r="J24" s="7" t="s">
        <v>267</v>
      </c>
      <c r="K24" s="7"/>
      <c r="L24" s="7" t="s">
        <v>404</v>
      </c>
    </row>
    <row r="25" spans="1:12" ht="15.75" customHeight="1">
      <c r="A25" s="7" t="s">
        <v>731</v>
      </c>
      <c r="B25" s="7" t="s">
        <v>188</v>
      </c>
      <c r="C25" s="7" t="s">
        <v>199</v>
      </c>
      <c r="D25" s="7" t="s">
        <v>732</v>
      </c>
      <c r="E25" s="7" t="s">
        <v>728</v>
      </c>
      <c r="F25" s="7" t="s">
        <v>733</v>
      </c>
      <c r="G25" s="7" t="s">
        <v>514</v>
      </c>
      <c r="H25" s="7" t="s">
        <v>734</v>
      </c>
      <c r="I25" s="7" t="s">
        <v>403</v>
      </c>
      <c r="J25" s="7" t="s">
        <v>267</v>
      </c>
      <c r="K25" s="7"/>
      <c r="L25" s="7" t="s">
        <v>404</v>
      </c>
    </row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25">
    <cfRule type="expression" dxfId="45" priority="1">
      <formula>B4="Unit"</formula>
    </cfRule>
    <cfRule type="expression" dxfId="44" priority="2">
      <formula>B4="Integration"</formula>
    </cfRule>
    <cfRule type="expression" dxfId="43" priority="3">
      <formula>B4="System"</formula>
    </cfRule>
    <cfRule type="expression" dxfId="42" priority="4">
      <formula>B4="UAT"</formula>
    </cfRule>
  </conditionalFormatting>
  <dataValidations count="4">
    <dataValidation type="list" allowBlank="1" sqref="B4:B25" xr:uid="{00000000-0002-0000-0600-000000000000}">
      <formula1>"Unit,Integration,System,UAT"</formula1>
    </dataValidation>
    <dataValidation type="list" allowBlank="1" sqref="I4:I25" xr:uid="{00000000-0002-0000-06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25" xr:uid="{00000000-0002-0000-0600-000002000000}">
      <formula1>"No,Yes,Candidate"</formula1>
    </dataValidation>
    <dataValidation type="list" allowBlank="1" sqref="J4:J25" xr:uid="{00000000-0002-0000-06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735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736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3</v>
      </c>
      <c r="B3" s="6" t="s">
        <v>254</v>
      </c>
      <c r="C3" s="6" t="s">
        <v>4</v>
      </c>
      <c r="D3" s="6" t="s">
        <v>255</v>
      </c>
      <c r="E3" s="6" t="s">
        <v>256</v>
      </c>
      <c r="F3" s="6" t="s">
        <v>257</v>
      </c>
      <c r="G3" s="6" t="s">
        <v>258</v>
      </c>
      <c r="H3" s="6" t="s">
        <v>259</v>
      </c>
      <c r="I3" s="6" t="s">
        <v>260</v>
      </c>
      <c r="J3" s="6" t="s">
        <v>261</v>
      </c>
      <c r="K3" s="6" t="s">
        <v>12</v>
      </c>
      <c r="L3" s="6" t="s">
        <v>262</v>
      </c>
    </row>
    <row r="4" spans="1:12">
      <c r="A4" s="7" t="s">
        <v>737</v>
      </c>
      <c r="B4" s="7" t="s">
        <v>183</v>
      </c>
      <c r="C4" s="7" t="s">
        <v>201</v>
      </c>
      <c r="D4" s="7" t="s">
        <v>738</v>
      </c>
      <c r="E4" s="7" t="s">
        <v>739</v>
      </c>
      <c r="F4" s="7" t="s">
        <v>15</v>
      </c>
      <c r="G4" s="7" t="s">
        <v>740</v>
      </c>
      <c r="H4" s="7" t="s">
        <v>738</v>
      </c>
      <c r="I4" s="7" t="s">
        <v>82</v>
      </c>
      <c r="J4" s="7" t="s">
        <v>267</v>
      </c>
      <c r="K4" s="7"/>
      <c r="L4" s="7" t="s">
        <v>328</v>
      </c>
    </row>
    <row r="5" spans="1:12">
      <c r="A5" s="7" t="s">
        <v>741</v>
      </c>
      <c r="B5" s="7" t="s">
        <v>183</v>
      </c>
      <c r="C5" s="7" t="s">
        <v>201</v>
      </c>
      <c r="D5" s="7" t="s">
        <v>742</v>
      </c>
      <c r="E5" s="7" t="s">
        <v>739</v>
      </c>
      <c r="F5" s="7" t="s">
        <v>743</v>
      </c>
      <c r="G5" s="7" t="s">
        <v>744</v>
      </c>
      <c r="H5" s="7" t="s">
        <v>745</v>
      </c>
      <c r="I5" s="7" t="s">
        <v>82</v>
      </c>
      <c r="J5" s="7" t="s">
        <v>267</v>
      </c>
      <c r="K5" s="7"/>
      <c r="L5" s="7" t="s">
        <v>328</v>
      </c>
    </row>
    <row r="6" spans="1:12" ht="42.75" customHeight="1">
      <c r="A6" s="7" t="s">
        <v>746</v>
      </c>
      <c r="B6" s="7" t="s">
        <v>183</v>
      </c>
      <c r="C6" s="7" t="s">
        <v>201</v>
      </c>
      <c r="D6" s="7" t="s">
        <v>747</v>
      </c>
      <c r="E6" s="7" t="s">
        <v>739</v>
      </c>
      <c r="F6" s="7" t="s">
        <v>748</v>
      </c>
      <c r="G6" s="7" t="s">
        <v>749</v>
      </c>
      <c r="H6" s="7" t="s">
        <v>750</v>
      </c>
      <c r="I6" s="7" t="s">
        <v>82</v>
      </c>
      <c r="J6" s="7" t="s">
        <v>267</v>
      </c>
      <c r="K6" s="7"/>
      <c r="L6" s="7" t="s">
        <v>328</v>
      </c>
    </row>
    <row r="7" spans="1:12">
      <c r="A7" s="7" t="s">
        <v>751</v>
      </c>
      <c r="B7" s="7" t="s">
        <v>183</v>
      </c>
      <c r="C7" s="7" t="s">
        <v>201</v>
      </c>
      <c r="D7" s="7" t="s">
        <v>752</v>
      </c>
      <c r="E7" s="7" t="s">
        <v>739</v>
      </c>
      <c r="F7" s="7" t="s">
        <v>15</v>
      </c>
      <c r="G7" s="7" t="s">
        <v>740</v>
      </c>
      <c r="H7" s="7" t="s">
        <v>752</v>
      </c>
      <c r="I7" s="7" t="s">
        <v>82</v>
      </c>
      <c r="J7" s="7" t="s">
        <v>267</v>
      </c>
      <c r="K7" s="7"/>
      <c r="L7" s="7" t="s">
        <v>328</v>
      </c>
    </row>
    <row r="8" spans="1:12">
      <c r="A8" s="7" t="s">
        <v>753</v>
      </c>
      <c r="B8" s="7" t="s">
        <v>183</v>
      </c>
      <c r="C8" s="7" t="s">
        <v>201</v>
      </c>
      <c r="D8" s="7" t="s">
        <v>754</v>
      </c>
      <c r="E8" s="7" t="s">
        <v>739</v>
      </c>
      <c r="F8" s="7" t="s">
        <v>755</v>
      </c>
      <c r="G8" s="7" t="s">
        <v>756</v>
      </c>
      <c r="H8" s="7" t="s">
        <v>757</v>
      </c>
      <c r="I8" s="7" t="s">
        <v>82</v>
      </c>
      <c r="J8" s="7" t="s">
        <v>267</v>
      </c>
      <c r="K8" s="7"/>
      <c r="L8" s="7" t="s">
        <v>328</v>
      </c>
    </row>
    <row r="9" spans="1:12" ht="42.75" customHeight="1">
      <c r="A9" s="7" t="s">
        <v>758</v>
      </c>
      <c r="B9" s="7" t="s">
        <v>183</v>
      </c>
      <c r="C9" s="7" t="s">
        <v>201</v>
      </c>
      <c r="D9" s="7" t="s">
        <v>759</v>
      </c>
      <c r="E9" s="7" t="s">
        <v>739</v>
      </c>
      <c r="F9" s="7" t="s">
        <v>760</v>
      </c>
      <c r="G9" s="7" t="s">
        <v>749</v>
      </c>
      <c r="H9" s="7" t="s">
        <v>761</v>
      </c>
      <c r="I9" s="7" t="s">
        <v>82</v>
      </c>
      <c r="J9" s="7" t="s">
        <v>267</v>
      </c>
      <c r="K9" s="7"/>
      <c r="L9" s="7" t="s">
        <v>328</v>
      </c>
    </row>
    <row r="10" spans="1:12">
      <c r="A10" s="7" t="s">
        <v>762</v>
      </c>
      <c r="B10" s="7" t="s">
        <v>183</v>
      </c>
      <c r="C10" s="7" t="s">
        <v>201</v>
      </c>
      <c r="D10" s="7" t="s">
        <v>763</v>
      </c>
      <c r="E10" s="7" t="s">
        <v>739</v>
      </c>
      <c r="F10" s="7" t="s">
        <v>15</v>
      </c>
      <c r="G10" s="7" t="s">
        <v>740</v>
      </c>
      <c r="H10" s="7" t="s">
        <v>763</v>
      </c>
      <c r="I10" s="7" t="s">
        <v>82</v>
      </c>
      <c r="J10" s="7" t="s">
        <v>267</v>
      </c>
      <c r="K10" s="7"/>
      <c r="L10" s="7" t="s">
        <v>328</v>
      </c>
    </row>
    <row r="11" spans="1:12">
      <c r="A11" s="7" t="s">
        <v>764</v>
      </c>
      <c r="B11" s="7" t="s">
        <v>183</v>
      </c>
      <c r="C11" s="7" t="s">
        <v>201</v>
      </c>
      <c r="D11" s="7" t="s">
        <v>765</v>
      </c>
      <c r="E11" s="7" t="s">
        <v>739</v>
      </c>
      <c r="F11" s="7" t="s">
        <v>766</v>
      </c>
      <c r="G11" s="7" t="s">
        <v>767</v>
      </c>
      <c r="H11" s="7" t="s">
        <v>768</v>
      </c>
      <c r="I11" s="7" t="s">
        <v>82</v>
      </c>
      <c r="J11" s="7" t="s">
        <v>267</v>
      </c>
      <c r="K11" s="7"/>
      <c r="L11" s="7" t="s">
        <v>328</v>
      </c>
    </row>
    <row r="12" spans="1:12" ht="42.75" customHeight="1">
      <c r="A12" s="7" t="s">
        <v>769</v>
      </c>
      <c r="B12" s="7" t="s">
        <v>183</v>
      </c>
      <c r="C12" s="7" t="s">
        <v>201</v>
      </c>
      <c r="D12" s="7" t="s">
        <v>770</v>
      </c>
      <c r="E12" s="7" t="s">
        <v>739</v>
      </c>
      <c r="F12" s="7" t="s">
        <v>771</v>
      </c>
      <c r="G12" s="7" t="s">
        <v>749</v>
      </c>
      <c r="H12" s="7" t="s">
        <v>772</v>
      </c>
      <c r="I12" s="7" t="s">
        <v>82</v>
      </c>
      <c r="J12" s="7" t="s">
        <v>267</v>
      </c>
      <c r="K12" s="7"/>
      <c r="L12" s="7" t="s">
        <v>328</v>
      </c>
    </row>
    <row r="13" spans="1:12">
      <c r="A13" s="7" t="s">
        <v>773</v>
      </c>
      <c r="B13" s="7" t="s">
        <v>183</v>
      </c>
      <c r="C13" s="7" t="s">
        <v>201</v>
      </c>
      <c r="D13" s="7" t="s">
        <v>774</v>
      </c>
      <c r="E13" s="7" t="s">
        <v>739</v>
      </c>
      <c r="F13" s="7" t="s">
        <v>15</v>
      </c>
      <c r="G13" s="7" t="s">
        <v>740</v>
      </c>
      <c r="H13" s="7" t="s">
        <v>775</v>
      </c>
      <c r="I13" s="7" t="s">
        <v>82</v>
      </c>
      <c r="J13" s="7" t="s">
        <v>267</v>
      </c>
      <c r="K13" s="7"/>
      <c r="L13" s="7" t="s">
        <v>328</v>
      </c>
    </row>
    <row r="14" spans="1:12">
      <c r="A14" s="7" t="s">
        <v>776</v>
      </c>
      <c r="B14" s="7" t="s">
        <v>183</v>
      </c>
      <c r="C14" s="7" t="s">
        <v>201</v>
      </c>
      <c r="D14" s="7" t="s">
        <v>777</v>
      </c>
      <c r="E14" s="7" t="s">
        <v>739</v>
      </c>
      <c r="F14" s="7" t="s">
        <v>15</v>
      </c>
      <c r="G14" s="7" t="s">
        <v>740</v>
      </c>
      <c r="H14" s="7" t="s">
        <v>778</v>
      </c>
      <c r="I14" s="7" t="s">
        <v>82</v>
      </c>
      <c r="J14" s="7" t="s">
        <v>267</v>
      </c>
      <c r="K14" s="7"/>
      <c r="L14" s="7" t="s">
        <v>328</v>
      </c>
    </row>
    <row r="15" spans="1:12" ht="28.5" customHeight="1">
      <c r="A15" s="7" t="s">
        <v>779</v>
      </c>
      <c r="B15" s="7" t="s">
        <v>152</v>
      </c>
      <c r="C15" s="7" t="s">
        <v>201</v>
      </c>
      <c r="D15" s="7" t="s">
        <v>780</v>
      </c>
      <c r="E15" s="7" t="s">
        <v>781</v>
      </c>
      <c r="F15" s="7" t="s">
        <v>782</v>
      </c>
      <c r="G15" s="7" t="s">
        <v>783</v>
      </c>
      <c r="H15" s="7" t="s">
        <v>784</v>
      </c>
      <c r="I15" s="7" t="s">
        <v>82</v>
      </c>
      <c r="J15" s="7" t="s">
        <v>267</v>
      </c>
      <c r="K15" s="7"/>
      <c r="L15" s="7" t="s">
        <v>328</v>
      </c>
    </row>
    <row r="16" spans="1:12" ht="28.5" customHeight="1">
      <c r="A16" s="7" t="s">
        <v>785</v>
      </c>
      <c r="B16" s="7" t="s">
        <v>152</v>
      </c>
      <c r="C16" s="7" t="s">
        <v>201</v>
      </c>
      <c r="D16" s="7" t="s">
        <v>786</v>
      </c>
      <c r="E16" s="7" t="s">
        <v>781</v>
      </c>
      <c r="F16" s="7" t="s">
        <v>787</v>
      </c>
      <c r="G16" s="7" t="s">
        <v>783</v>
      </c>
      <c r="H16" s="7" t="s">
        <v>788</v>
      </c>
      <c r="I16" s="7" t="s">
        <v>82</v>
      </c>
      <c r="J16" s="7" t="s">
        <v>267</v>
      </c>
      <c r="K16" s="7"/>
      <c r="L16" s="7" t="s">
        <v>328</v>
      </c>
    </row>
    <row r="17" spans="1:12" ht="28.5" customHeight="1">
      <c r="A17" s="7" t="s">
        <v>789</v>
      </c>
      <c r="B17" s="7" t="s">
        <v>152</v>
      </c>
      <c r="C17" s="7" t="s">
        <v>201</v>
      </c>
      <c r="D17" s="7" t="s">
        <v>790</v>
      </c>
      <c r="E17" s="7" t="s">
        <v>781</v>
      </c>
      <c r="F17" s="7" t="s">
        <v>791</v>
      </c>
      <c r="G17" s="7" t="s">
        <v>783</v>
      </c>
      <c r="H17" s="7" t="s">
        <v>792</v>
      </c>
      <c r="I17" s="7" t="s">
        <v>82</v>
      </c>
      <c r="J17" s="7" t="s">
        <v>267</v>
      </c>
      <c r="K17" s="7"/>
      <c r="L17" s="7" t="s">
        <v>328</v>
      </c>
    </row>
    <row r="18" spans="1:12" ht="28.5" customHeight="1">
      <c r="A18" s="7" t="s">
        <v>793</v>
      </c>
      <c r="B18" s="7" t="s">
        <v>152</v>
      </c>
      <c r="C18" s="7" t="s">
        <v>201</v>
      </c>
      <c r="D18" s="7" t="s">
        <v>794</v>
      </c>
      <c r="E18" s="7" t="s">
        <v>781</v>
      </c>
      <c r="F18" s="7" t="s">
        <v>795</v>
      </c>
      <c r="G18" s="7" t="s">
        <v>783</v>
      </c>
      <c r="H18" s="7" t="s">
        <v>796</v>
      </c>
      <c r="I18" s="7" t="s">
        <v>82</v>
      </c>
      <c r="J18" s="7" t="s">
        <v>267</v>
      </c>
      <c r="K18" s="7"/>
      <c r="L18" s="7" t="s">
        <v>328</v>
      </c>
    </row>
    <row r="19" spans="1:12" ht="28.5" customHeight="1">
      <c r="A19" s="7" t="s">
        <v>797</v>
      </c>
      <c r="B19" s="7" t="s">
        <v>152</v>
      </c>
      <c r="C19" s="7" t="s">
        <v>201</v>
      </c>
      <c r="D19" s="7" t="s">
        <v>798</v>
      </c>
      <c r="E19" s="7" t="s">
        <v>781</v>
      </c>
      <c r="F19" s="7" t="s">
        <v>799</v>
      </c>
      <c r="G19" s="7" t="s">
        <v>783</v>
      </c>
      <c r="H19" s="7" t="s">
        <v>800</v>
      </c>
      <c r="I19" s="7" t="s">
        <v>82</v>
      </c>
      <c r="J19" s="7" t="s">
        <v>267</v>
      </c>
      <c r="K19" s="7"/>
      <c r="L19" s="7" t="s">
        <v>328</v>
      </c>
    </row>
    <row r="20" spans="1:12" ht="42.75" customHeight="1">
      <c r="A20" s="7" t="s">
        <v>801</v>
      </c>
      <c r="B20" s="7" t="s">
        <v>183</v>
      </c>
      <c r="C20" s="7" t="s">
        <v>201</v>
      </c>
      <c r="D20" s="7" t="s">
        <v>802</v>
      </c>
      <c r="E20" s="7" t="s">
        <v>739</v>
      </c>
      <c r="F20" s="7" t="s">
        <v>803</v>
      </c>
      <c r="G20" s="7" t="s">
        <v>804</v>
      </c>
      <c r="H20" s="7" t="s">
        <v>805</v>
      </c>
      <c r="I20" s="7" t="s">
        <v>82</v>
      </c>
      <c r="J20" s="7" t="s">
        <v>267</v>
      </c>
      <c r="K20" s="7"/>
      <c r="L20" s="7" t="s">
        <v>328</v>
      </c>
    </row>
    <row r="21" spans="1:12" ht="15.75" customHeight="1">
      <c r="A21" s="7" t="s">
        <v>806</v>
      </c>
      <c r="B21" s="7" t="s">
        <v>183</v>
      </c>
      <c r="C21" s="7" t="s">
        <v>201</v>
      </c>
      <c r="D21" s="7" t="s">
        <v>807</v>
      </c>
      <c r="E21" s="7" t="s">
        <v>739</v>
      </c>
      <c r="F21" s="7" t="s">
        <v>808</v>
      </c>
      <c r="G21" s="7" t="s">
        <v>804</v>
      </c>
      <c r="H21" s="7" t="s">
        <v>805</v>
      </c>
      <c r="I21" s="7" t="s">
        <v>82</v>
      </c>
      <c r="J21" s="7" t="s">
        <v>267</v>
      </c>
      <c r="K21" s="7"/>
      <c r="L21" s="7" t="s">
        <v>328</v>
      </c>
    </row>
    <row r="22" spans="1:12" ht="15.75" customHeight="1">
      <c r="A22" s="7" t="s">
        <v>809</v>
      </c>
      <c r="B22" s="7" t="s">
        <v>183</v>
      </c>
      <c r="C22" s="7" t="s">
        <v>201</v>
      </c>
      <c r="D22" s="7" t="s">
        <v>810</v>
      </c>
      <c r="E22" s="7" t="s">
        <v>739</v>
      </c>
      <c r="F22" s="7" t="s">
        <v>811</v>
      </c>
      <c r="G22" s="7" t="s">
        <v>812</v>
      </c>
      <c r="H22" s="7" t="s">
        <v>805</v>
      </c>
      <c r="I22" s="7" t="s">
        <v>82</v>
      </c>
      <c r="J22" s="7" t="s">
        <v>267</v>
      </c>
      <c r="K22" s="7"/>
      <c r="L22" s="7" t="s">
        <v>328</v>
      </c>
    </row>
    <row r="23" spans="1:12" ht="15.75" customHeight="1">
      <c r="A23" s="7" t="s">
        <v>813</v>
      </c>
      <c r="B23" s="7" t="s">
        <v>183</v>
      </c>
      <c r="C23" s="7" t="s">
        <v>201</v>
      </c>
      <c r="D23" s="7" t="s">
        <v>814</v>
      </c>
      <c r="E23" s="7" t="s">
        <v>739</v>
      </c>
      <c r="F23" s="7" t="s">
        <v>815</v>
      </c>
      <c r="G23" s="7" t="s">
        <v>816</v>
      </c>
      <c r="H23" s="7" t="s">
        <v>805</v>
      </c>
      <c r="I23" s="7" t="s">
        <v>82</v>
      </c>
      <c r="J23" s="7" t="s">
        <v>267</v>
      </c>
      <c r="K23" s="7"/>
      <c r="L23" s="7" t="s">
        <v>328</v>
      </c>
    </row>
    <row r="24" spans="1:12" ht="15.75" customHeight="1">
      <c r="A24" s="7" t="s">
        <v>817</v>
      </c>
      <c r="B24" s="7" t="s">
        <v>183</v>
      </c>
      <c r="C24" s="7" t="s">
        <v>201</v>
      </c>
      <c r="D24" s="7" t="s">
        <v>818</v>
      </c>
      <c r="E24" s="7" t="s">
        <v>739</v>
      </c>
      <c r="F24" s="7" t="s">
        <v>819</v>
      </c>
      <c r="G24" s="7" t="s">
        <v>816</v>
      </c>
      <c r="H24" s="7" t="s">
        <v>805</v>
      </c>
      <c r="I24" s="7" t="s">
        <v>82</v>
      </c>
      <c r="J24" s="7" t="s">
        <v>267</v>
      </c>
      <c r="K24" s="7"/>
      <c r="L24" s="7" t="s">
        <v>328</v>
      </c>
    </row>
    <row r="25" spans="1:12" ht="15.75" customHeight="1">
      <c r="A25" s="7" t="s">
        <v>820</v>
      </c>
      <c r="B25" s="7" t="s">
        <v>183</v>
      </c>
      <c r="C25" s="7" t="s">
        <v>201</v>
      </c>
      <c r="D25" s="7" t="s">
        <v>821</v>
      </c>
      <c r="E25" s="7" t="s">
        <v>739</v>
      </c>
      <c r="F25" s="7" t="s">
        <v>822</v>
      </c>
      <c r="G25" s="7" t="s">
        <v>816</v>
      </c>
      <c r="H25" s="7" t="s">
        <v>805</v>
      </c>
      <c r="I25" s="7" t="s">
        <v>82</v>
      </c>
      <c r="J25" s="7" t="s">
        <v>267</v>
      </c>
      <c r="K25" s="7"/>
      <c r="L25" s="7" t="s">
        <v>328</v>
      </c>
    </row>
    <row r="26" spans="1:12" ht="15.75" customHeight="1">
      <c r="A26" s="7" t="s">
        <v>823</v>
      </c>
      <c r="B26" s="7" t="s">
        <v>152</v>
      </c>
      <c r="C26" s="7" t="s">
        <v>201</v>
      </c>
      <c r="D26" s="7" t="s">
        <v>824</v>
      </c>
      <c r="E26" s="7" t="s">
        <v>825</v>
      </c>
      <c r="F26" s="7" t="s">
        <v>826</v>
      </c>
      <c r="G26" s="7" t="s">
        <v>827</v>
      </c>
      <c r="H26" s="7" t="s">
        <v>828</v>
      </c>
      <c r="I26" s="7" t="s">
        <v>82</v>
      </c>
      <c r="J26" s="7" t="s">
        <v>267</v>
      </c>
      <c r="K26" s="7" t="s">
        <v>355</v>
      </c>
      <c r="L26" s="7" t="s">
        <v>328</v>
      </c>
    </row>
    <row r="27" spans="1:12" ht="15.75" customHeight="1">
      <c r="A27" s="7" t="s">
        <v>829</v>
      </c>
      <c r="B27" s="7" t="s">
        <v>152</v>
      </c>
      <c r="C27" s="7" t="s">
        <v>201</v>
      </c>
      <c r="D27" s="7" t="s">
        <v>830</v>
      </c>
      <c r="E27" s="7" t="s">
        <v>825</v>
      </c>
      <c r="F27" s="7" t="s">
        <v>831</v>
      </c>
      <c r="G27" s="7" t="s">
        <v>827</v>
      </c>
      <c r="H27" s="7" t="s">
        <v>832</v>
      </c>
      <c r="I27" s="7" t="s">
        <v>82</v>
      </c>
      <c r="J27" s="7" t="s">
        <v>267</v>
      </c>
      <c r="K27" s="7" t="s">
        <v>355</v>
      </c>
      <c r="L27" s="7" t="s">
        <v>328</v>
      </c>
    </row>
    <row r="28" spans="1:12" ht="15.75" customHeight="1">
      <c r="A28" s="7" t="s">
        <v>833</v>
      </c>
      <c r="B28" s="7" t="s">
        <v>185</v>
      </c>
      <c r="C28" s="7" t="s">
        <v>201</v>
      </c>
      <c r="D28" s="7" t="s">
        <v>834</v>
      </c>
      <c r="E28" s="7" t="s">
        <v>739</v>
      </c>
      <c r="F28" s="7" t="s">
        <v>15</v>
      </c>
      <c r="G28" s="7" t="s">
        <v>835</v>
      </c>
      <c r="H28" s="7" t="s">
        <v>836</v>
      </c>
      <c r="I28" s="7" t="s">
        <v>82</v>
      </c>
      <c r="J28" s="7" t="s">
        <v>267</v>
      </c>
      <c r="K28" s="7"/>
      <c r="L28" s="7" t="s">
        <v>328</v>
      </c>
    </row>
    <row r="29" spans="1:12" ht="15.75" customHeight="1">
      <c r="A29" s="7" t="s">
        <v>837</v>
      </c>
      <c r="B29" s="7" t="s">
        <v>185</v>
      </c>
      <c r="C29" s="7" t="s">
        <v>201</v>
      </c>
      <c r="D29" s="7" t="s">
        <v>838</v>
      </c>
      <c r="E29" s="7" t="s">
        <v>839</v>
      </c>
      <c r="F29" s="7" t="s">
        <v>840</v>
      </c>
      <c r="G29" s="7" t="s">
        <v>841</v>
      </c>
      <c r="H29" s="7" t="s">
        <v>842</v>
      </c>
      <c r="I29" s="7" t="s">
        <v>82</v>
      </c>
      <c r="J29" s="7" t="s">
        <v>267</v>
      </c>
      <c r="K29" s="7"/>
      <c r="L29" s="7" t="s">
        <v>328</v>
      </c>
    </row>
    <row r="30" spans="1:12" ht="15.75" customHeight="1">
      <c r="A30" s="7" t="s">
        <v>843</v>
      </c>
      <c r="B30" s="7" t="s">
        <v>188</v>
      </c>
      <c r="C30" s="7" t="s">
        <v>201</v>
      </c>
      <c r="D30" s="7" t="s">
        <v>844</v>
      </c>
      <c r="E30" s="7" t="s">
        <v>845</v>
      </c>
      <c r="F30" s="7" t="s">
        <v>846</v>
      </c>
      <c r="G30" s="7" t="s">
        <v>514</v>
      </c>
      <c r="H30" s="7" t="s">
        <v>847</v>
      </c>
      <c r="I30" s="7" t="s">
        <v>403</v>
      </c>
      <c r="J30" s="7" t="s">
        <v>267</v>
      </c>
      <c r="K30" s="7"/>
      <c r="L30" s="7" t="s">
        <v>404</v>
      </c>
    </row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30">
    <cfRule type="expression" dxfId="41" priority="1">
      <formula>B4="Unit"</formula>
    </cfRule>
    <cfRule type="expression" dxfId="40" priority="2">
      <formula>B4="Integration"</formula>
    </cfRule>
    <cfRule type="expression" dxfId="39" priority="3">
      <formula>B4="System"</formula>
    </cfRule>
    <cfRule type="expression" dxfId="38" priority="4">
      <formula>B4="UAT"</formula>
    </cfRule>
  </conditionalFormatting>
  <dataValidations count="4">
    <dataValidation type="list" allowBlank="1" sqref="B4:B30" xr:uid="{00000000-0002-0000-0700-000000000000}">
      <formula1>"Unit,Integration,System,UAT"</formula1>
    </dataValidation>
    <dataValidation type="list" allowBlank="1" sqref="I4:I30" xr:uid="{00000000-0002-0000-07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30" xr:uid="{00000000-0002-0000-0700-000002000000}">
      <formula1>"No,Yes,Candidate"</formula1>
    </dataValidation>
    <dataValidation type="list" allowBlank="1" sqref="J4:J30" xr:uid="{00000000-0002-0000-07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848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849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3</v>
      </c>
      <c r="B3" s="6" t="s">
        <v>254</v>
      </c>
      <c r="C3" s="6" t="s">
        <v>4</v>
      </c>
      <c r="D3" s="6" t="s">
        <v>255</v>
      </c>
      <c r="E3" s="6" t="s">
        <v>256</v>
      </c>
      <c r="F3" s="6" t="s">
        <v>257</v>
      </c>
      <c r="G3" s="6" t="s">
        <v>258</v>
      </c>
      <c r="H3" s="6" t="s">
        <v>259</v>
      </c>
      <c r="I3" s="6" t="s">
        <v>260</v>
      </c>
      <c r="J3" s="6" t="s">
        <v>261</v>
      </c>
      <c r="K3" s="6" t="s">
        <v>12</v>
      </c>
      <c r="L3" s="6" t="s">
        <v>262</v>
      </c>
    </row>
    <row r="4" spans="1:12" ht="28.5" customHeight="1">
      <c r="A4" s="7" t="s">
        <v>850</v>
      </c>
      <c r="B4" s="7" t="s">
        <v>183</v>
      </c>
      <c r="C4" s="7" t="s">
        <v>203</v>
      </c>
      <c r="D4" s="7" t="s">
        <v>851</v>
      </c>
      <c r="E4" s="7" t="s">
        <v>852</v>
      </c>
      <c r="F4" s="7" t="s">
        <v>15</v>
      </c>
      <c r="G4" s="7" t="s">
        <v>853</v>
      </c>
      <c r="H4" s="7" t="s">
        <v>854</v>
      </c>
      <c r="I4" s="7" t="s">
        <v>82</v>
      </c>
      <c r="J4" s="7" t="s">
        <v>267</v>
      </c>
      <c r="K4" s="7"/>
      <c r="L4" s="7" t="s">
        <v>328</v>
      </c>
    </row>
    <row r="5" spans="1:12" ht="28.5" customHeight="1">
      <c r="A5" s="7" t="s">
        <v>855</v>
      </c>
      <c r="B5" s="7" t="s">
        <v>183</v>
      </c>
      <c r="C5" s="7" t="s">
        <v>203</v>
      </c>
      <c r="D5" s="7" t="s">
        <v>856</v>
      </c>
      <c r="E5" s="7" t="s">
        <v>852</v>
      </c>
      <c r="F5" s="7" t="s">
        <v>15</v>
      </c>
      <c r="G5" s="7" t="s">
        <v>853</v>
      </c>
      <c r="H5" s="7" t="s">
        <v>857</v>
      </c>
      <c r="I5" s="7" t="s">
        <v>82</v>
      </c>
      <c r="J5" s="7" t="s">
        <v>267</v>
      </c>
      <c r="K5" s="7"/>
      <c r="L5" s="7" t="s">
        <v>328</v>
      </c>
    </row>
    <row r="6" spans="1:12" ht="28.5" customHeight="1">
      <c r="A6" s="7" t="s">
        <v>858</v>
      </c>
      <c r="B6" s="7" t="s">
        <v>183</v>
      </c>
      <c r="C6" s="7" t="s">
        <v>203</v>
      </c>
      <c r="D6" s="7" t="s">
        <v>859</v>
      </c>
      <c r="E6" s="7" t="s">
        <v>852</v>
      </c>
      <c r="F6" s="7" t="s">
        <v>15</v>
      </c>
      <c r="G6" s="7" t="s">
        <v>853</v>
      </c>
      <c r="H6" s="7" t="s">
        <v>860</v>
      </c>
      <c r="I6" s="7" t="s">
        <v>82</v>
      </c>
      <c r="J6" s="7" t="s">
        <v>267</v>
      </c>
      <c r="K6" s="7"/>
      <c r="L6" s="7" t="s">
        <v>328</v>
      </c>
    </row>
    <row r="7" spans="1:12" ht="28.5" customHeight="1">
      <c r="A7" s="7" t="s">
        <v>861</v>
      </c>
      <c r="B7" s="7" t="s">
        <v>183</v>
      </c>
      <c r="C7" s="7" t="s">
        <v>203</v>
      </c>
      <c r="D7" s="7" t="s">
        <v>862</v>
      </c>
      <c r="E7" s="7" t="s">
        <v>852</v>
      </c>
      <c r="F7" s="7" t="s">
        <v>15</v>
      </c>
      <c r="G7" s="7" t="s">
        <v>853</v>
      </c>
      <c r="H7" s="7" t="s">
        <v>863</v>
      </c>
      <c r="I7" s="7" t="s">
        <v>82</v>
      </c>
      <c r="J7" s="7" t="s">
        <v>267</v>
      </c>
      <c r="K7" s="7"/>
      <c r="L7" s="7" t="s">
        <v>328</v>
      </c>
    </row>
    <row r="8" spans="1:12" ht="28.5" customHeight="1">
      <c r="A8" s="7" t="s">
        <v>864</v>
      </c>
      <c r="B8" s="7" t="s">
        <v>183</v>
      </c>
      <c r="C8" s="7" t="s">
        <v>203</v>
      </c>
      <c r="D8" s="7" t="s">
        <v>865</v>
      </c>
      <c r="E8" s="7" t="s">
        <v>852</v>
      </c>
      <c r="F8" s="7" t="s">
        <v>15</v>
      </c>
      <c r="G8" s="7" t="s">
        <v>853</v>
      </c>
      <c r="H8" s="7" t="s">
        <v>866</v>
      </c>
      <c r="I8" s="7" t="s">
        <v>82</v>
      </c>
      <c r="J8" s="7" t="s">
        <v>267</v>
      </c>
      <c r="K8" s="7"/>
      <c r="L8" s="7" t="s">
        <v>328</v>
      </c>
    </row>
    <row r="9" spans="1:12" ht="28.5" customHeight="1">
      <c r="A9" s="7" t="s">
        <v>867</v>
      </c>
      <c r="B9" s="7" t="s">
        <v>183</v>
      </c>
      <c r="C9" s="7" t="s">
        <v>203</v>
      </c>
      <c r="D9" s="7" t="s">
        <v>868</v>
      </c>
      <c r="E9" s="7" t="s">
        <v>852</v>
      </c>
      <c r="F9" s="7" t="s">
        <v>15</v>
      </c>
      <c r="G9" s="7" t="s">
        <v>853</v>
      </c>
      <c r="H9" s="7" t="s">
        <v>869</v>
      </c>
      <c r="I9" s="7" t="s">
        <v>82</v>
      </c>
      <c r="J9" s="7" t="s">
        <v>267</v>
      </c>
      <c r="K9" s="7"/>
      <c r="L9" s="7" t="s">
        <v>328</v>
      </c>
    </row>
    <row r="10" spans="1:12" ht="28.5" customHeight="1">
      <c r="A10" s="7" t="s">
        <v>870</v>
      </c>
      <c r="B10" s="7" t="s">
        <v>183</v>
      </c>
      <c r="C10" s="7" t="s">
        <v>203</v>
      </c>
      <c r="D10" s="7" t="s">
        <v>871</v>
      </c>
      <c r="E10" s="7" t="s">
        <v>852</v>
      </c>
      <c r="F10" s="7" t="s">
        <v>15</v>
      </c>
      <c r="G10" s="7" t="s">
        <v>853</v>
      </c>
      <c r="H10" s="7" t="s">
        <v>872</v>
      </c>
      <c r="I10" s="7" t="s">
        <v>82</v>
      </c>
      <c r="J10" s="7" t="s">
        <v>267</v>
      </c>
      <c r="K10" s="7"/>
      <c r="L10" s="7" t="s">
        <v>328</v>
      </c>
    </row>
    <row r="11" spans="1:12" ht="28.5" customHeight="1">
      <c r="A11" s="7" t="s">
        <v>873</v>
      </c>
      <c r="B11" s="7" t="s">
        <v>183</v>
      </c>
      <c r="C11" s="7" t="s">
        <v>203</v>
      </c>
      <c r="D11" s="7" t="s">
        <v>874</v>
      </c>
      <c r="E11" s="7" t="s">
        <v>852</v>
      </c>
      <c r="F11" s="7" t="s">
        <v>15</v>
      </c>
      <c r="G11" s="7" t="s">
        <v>853</v>
      </c>
      <c r="H11" s="7" t="s">
        <v>875</v>
      </c>
      <c r="I11" s="7" t="s">
        <v>82</v>
      </c>
      <c r="J11" s="7" t="s">
        <v>267</v>
      </c>
      <c r="K11" s="7"/>
      <c r="L11" s="7" t="s">
        <v>328</v>
      </c>
    </row>
    <row r="12" spans="1:12" ht="28.5" customHeight="1">
      <c r="A12" s="7" t="s">
        <v>876</v>
      </c>
      <c r="B12" s="7" t="s">
        <v>183</v>
      </c>
      <c r="C12" s="7" t="s">
        <v>203</v>
      </c>
      <c r="D12" s="7" t="s">
        <v>877</v>
      </c>
      <c r="E12" s="7" t="s">
        <v>852</v>
      </c>
      <c r="F12" s="7" t="s">
        <v>15</v>
      </c>
      <c r="G12" s="7" t="s">
        <v>853</v>
      </c>
      <c r="H12" s="7" t="s">
        <v>878</v>
      </c>
      <c r="I12" s="7" t="s">
        <v>82</v>
      </c>
      <c r="J12" s="7" t="s">
        <v>267</v>
      </c>
      <c r="K12" s="7"/>
      <c r="L12" s="7" t="s">
        <v>328</v>
      </c>
    </row>
    <row r="13" spans="1:12" ht="28.5" customHeight="1">
      <c r="A13" s="7" t="s">
        <v>879</v>
      </c>
      <c r="B13" s="7" t="s">
        <v>183</v>
      </c>
      <c r="C13" s="7" t="s">
        <v>203</v>
      </c>
      <c r="D13" s="7" t="s">
        <v>777</v>
      </c>
      <c r="E13" s="7" t="s">
        <v>852</v>
      </c>
      <c r="F13" s="7" t="s">
        <v>15</v>
      </c>
      <c r="G13" s="7" t="s">
        <v>853</v>
      </c>
      <c r="H13" s="7" t="s">
        <v>778</v>
      </c>
      <c r="I13" s="7" t="s">
        <v>82</v>
      </c>
      <c r="J13" s="7" t="s">
        <v>267</v>
      </c>
      <c r="K13" s="7"/>
      <c r="L13" s="7" t="s">
        <v>328</v>
      </c>
    </row>
    <row r="14" spans="1:12" ht="28.5" customHeight="1">
      <c r="A14" s="7" t="s">
        <v>880</v>
      </c>
      <c r="B14" s="7" t="s">
        <v>183</v>
      </c>
      <c r="C14" s="7" t="s">
        <v>203</v>
      </c>
      <c r="D14" s="7" t="s">
        <v>881</v>
      </c>
      <c r="E14" s="7" t="s">
        <v>882</v>
      </c>
      <c r="F14" s="7" t="s">
        <v>883</v>
      </c>
      <c r="G14" s="7" t="s">
        <v>884</v>
      </c>
      <c r="H14" s="7" t="s">
        <v>885</v>
      </c>
      <c r="I14" s="7" t="s">
        <v>82</v>
      </c>
      <c r="J14" s="7" t="s">
        <v>267</v>
      </c>
      <c r="K14" s="7"/>
      <c r="L14" s="7" t="s">
        <v>268</v>
      </c>
    </row>
    <row r="15" spans="1:12" ht="57" customHeight="1">
      <c r="A15" s="7" t="s">
        <v>886</v>
      </c>
      <c r="B15" s="7" t="s">
        <v>183</v>
      </c>
      <c r="C15" s="7" t="s">
        <v>203</v>
      </c>
      <c r="D15" s="7" t="s">
        <v>887</v>
      </c>
      <c r="E15" s="7" t="s">
        <v>882</v>
      </c>
      <c r="F15" s="7" t="s">
        <v>888</v>
      </c>
      <c r="G15" s="7" t="s">
        <v>889</v>
      </c>
      <c r="H15" s="7" t="s">
        <v>890</v>
      </c>
      <c r="I15" s="7" t="s">
        <v>82</v>
      </c>
      <c r="J15" s="7" t="s">
        <v>267</v>
      </c>
      <c r="K15" s="7"/>
      <c r="L15" s="7" t="s">
        <v>268</v>
      </c>
    </row>
    <row r="16" spans="1:12">
      <c r="A16" s="7" t="s">
        <v>891</v>
      </c>
      <c r="B16" s="7" t="s">
        <v>152</v>
      </c>
      <c r="C16" s="7" t="s">
        <v>203</v>
      </c>
      <c r="D16" s="7" t="s">
        <v>892</v>
      </c>
      <c r="E16" s="7" t="s">
        <v>893</v>
      </c>
      <c r="F16" s="7" t="s">
        <v>894</v>
      </c>
      <c r="G16" s="7" t="s">
        <v>895</v>
      </c>
      <c r="H16" s="7" t="s">
        <v>896</v>
      </c>
      <c r="I16" s="7" t="s">
        <v>82</v>
      </c>
      <c r="J16" s="7" t="s">
        <v>267</v>
      </c>
      <c r="K16" s="7"/>
      <c r="L16" s="7" t="s">
        <v>328</v>
      </c>
    </row>
    <row r="17" spans="1:12">
      <c r="A17" s="7" t="s">
        <v>897</v>
      </c>
      <c r="B17" s="7" t="s">
        <v>152</v>
      </c>
      <c r="C17" s="7" t="s">
        <v>203</v>
      </c>
      <c r="D17" s="7" t="s">
        <v>898</v>
      </c>
      <c r="E17" s="7" t="s">
        <v>899</v>
      </c>
      <c r="F17" s="7" t="s">
        <v>900</v>
      </c>
      <c r="G17" s="7" t="s">
        <v>895</v>
      </c>
      <c r="H17" s="7" t="s">
        <v>901</v>
      </c>
      <c r="I17" s="7" t="s">
        <v>82</v>
      </c>
      <c r="J17" s="7" t="s">
        <v>267</v>
      </c>
      <c r="K17" s="7"/>
      <c r="L17" s="7" t="s">
        <v>328</v>
      </c>
    </row>
    <row r="18" spans="1:12">
      <c r="A18" s="7" t="s">
        <v>902</v>
      </c>
      <c r="B18" s="7" t="s">
        <v>152</v>
      </c>
      <c r="C18" s="7" t="s">
        <v>203</v>
      </c>
      <c r="D18" s="7" t="s">
        <v>903</v>
      </c>
      <c r="E18" s="7" t="s">
        <v>882</v>
      </c>
      <c r="F18" s="7" t="s">
        <v>15</v>
      </c>
      <c r="G18" s="7" t="s">
        <v>904</v>
      </c>
      <c r="H18" s="7" t="s">
        <v>905</v>
      </c>
      <c r="I18" s="7" t="s">
        <v>82</v>
      </c>
      <c r="J18" s="7" t="s">
        <v>267</v>
      </c>
      <c r="K18" s="7"/>
      <c r="L18" s="7" t="s">
        <v>328</v>
      </c>
    </row>
    <row r="19" spans="1:12" ht="28.5" customHeight="1">
      <c r="A19" s="7" t="s">
        <v>906</v>
      </c>
      <c r="B19" s="7" t="s">
        <v>188</v>
      </c>
      <c r="C19" s="7" t="s">
        <v>203</v>
      </c>
      <c r="D19" s="7" t="s">
        <v>907</v>
      </c>
      <c r="E19" s="7" t="s">
        <v>908</v>
      </c>
      <c r="F19" s="7" t="s">
        <v>909</v>
      </c>
      <c r="G19" s="7" t="s">
        <v>514</v>
      </c>
      <c r="H19" s="7" t="s">
        <v>910</v>
      </c>
      <c r="I19" s="7" t="s">
        <v>403</v>
      </c>
      <c r="J19" s="7" t="s">
        <v>267</v>
      </c>
      <c r="K19" s="7"/>
      <c r="L19" s="7" t="s">
        <v>404</v>
      </c>
    </row>
    <row r="20" spans="1:12" ht="28.5" customHeight="1">
      <c r="A20" s="7" t="s">
        <v>911</v>
      </c>
      <c r="B20" s="7" t="s">
        <v>188</v>
      </c>
      <c r="C20" s="7" t="s">
        <v>203</v>
      </c>
      <c r="D20" s="7" t="s">
        <v>912</v>
      </c>
      <c r="E20" s="7" t="s">
        <v>908</v>
      </c>
      <c r="F20" s="7" t="s">
        <v>913</v>
      </c>
      <c r="G20" s="7" t="s">
        <v>514</v>
      </c>
      <c r="H20" s="7" t="s">
        <v>914</v>
      </c>
      <c r="I20" s="7" t="s">
        <v>403</v>
      </c>
      <c r="J20" s="7" t="s">
        <v>267</v>
      </c>
      <c r="K20" s="7"/>
      <c r="L20" s="7" t="s">
        <v>404</v>
      </c>
    </row>
    <row r="21" spans="1:12" ht="15.75" customHeight="1"/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20">
    <cfRule type="expression" dxfId="37" priority="1">
      <formula>B4="Unit"</formula>
    </cfRule>
    <cfRule type="expression" dxfId="36" priority="2">
      <formula>B4="Integration"</formula>
    </cfRule>
    <cfRule type="expression" dxfId="35" priority="3">
      <formula>B4="System"</formula>
    </cfRule>
    <cfRule type="expression" dxfId="34" priority="4">
      <formula>B4="UAT"</formula>
    </cfRule>
  </conditionalFormatting>
  <dataValidations count="4">
    <dataValidation type="list" allowBlank="1" sqref="B4:B20" xr:uid="{00000000-0002-0000-0800-000000000000}">
      <formula1>"Unit,Integration,System,UAT"</formula1>
    </dataValidation>
    <dataValidation type="list" allowBlank="1" sqref="I4:I20" xr:uid="{00000000-0002-0000-08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20" xr:uid="{00000000-0002-0000-0800-000002000000}">
      <formula1>"No,Yes,Candidate"</formula1>
    </dataValidation>
    <dataValidation type="list" allowBlank="1" sqref="J4:J20" xr:uid="{00000000-0002-0000-08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915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916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3</v>
      </c>
      <c r="B3" s="6" t="s">
        <v>254</v>
      </c>
      <c r="C3" s="6" t="s">
        <v>4</v>
      </c>
      <c r="D3" s="6" t="s">
        <v>255</v>
      </c>
      <c r="E3" s="6" t="s">
        <v>256</v>
      </c>
      <c r="F3" s="6" t="s">
        <v>257</v>
      </c>
      <c r="G3" s="6" t="s">
        <v>258</v>
      </c>
      <c r="H3" s="6" t="s">
        <v>259</v>
      </c>
      <c r="I3" s="6" t="s">
        <v>260</v>
      </c>
      <c r="J3" s="6" t="s">
        <v>261</v>
      </c>
      <c r="K3" s="6" t="s">
        <v>12</v>
      </c>
      <c r="L3" s="6" t="s">
        <v>262</v>
      </c>
    </row>
    <row r="4" spans="1:12">
      <c r="A4" s="7" t="s">
        <v>917</v>
      </c>
      <c r="B4" s="7" t="s">
        <v>183</v>
      </c>
      <c r="C4" s="7" t="s">
        <v>205</v>
      </c>
      <c r="D4" s="7" t="s">
        <v>918</v>
      </c>
      <c r="E4" s="7" t="s">
        <v>919</v>
      </c>
      <c r="F4" s="7" t="s">
        <v>15</v>
      </c>
      <c r="G4" s="7" t="s">
        <v>920</v>
      </c>
      <c r="H4" s="7" t="s">
        <v>921</v>
      </c>
      <c r="I4" s="7" t="s">
        <v>82</v>
      </c>
      <c r="J4" s="7" t="s">
        <v>267</v>
      </c>
      <c r="K4" s="7"/>
      <c r="L4" s="7" t="s">
        <v>328</v>
      </c>
    </row>
    <row r="5" spans="1:12">
      <c r="A5" s="7" t="s">
        <v>922</v>
      </c>
      <c r="B5" s="7" t="s">
        <v>183</v>
      </c>
      <c r="C5" s="7" t="s">
        <v>205</v>
      </c>
      <c r="D5" s="7" t="s">
        <v>923</v>
      </c>
      <c r="E5" s="7" t="s">
        <v>919</v>
      </c>
      <c r="F5" s="7" t="s">
        <v>15</v>
      </c>
      <c r="G5" s="7" t="s">
        <v>920</v>
      </c>
      <c r="H5" s="7" t="s">
        <v>924</v>
      </c>
      <c r="I5" s="7" t="s">
        <v>82</v>
      </c>
      <c r="J5" s="7" t="s">
        <v>267</v>
      </c>
      <c r="K5" s="7"/>
      <c r="L5" s="7" t="s">
        <v>328</v>
      </c>
    </row>
    <row r="6" spans="1:12">
      <c r="A6" s="7" t="s">
        <v>925</v>
      </c>
      <c r="B6" s="7" t="s">
        <v>183</v>
      </c>
      <c r="C6" s="7" t="s">
        <v>205</v>
      </c>
      <c r="D6" s="7" t="s">
        <v>926</v>
      </c>
      <c r="E6" s="7" t="s">
        <v>919</v>
      </c>
      <c r="F6" s="7" t="s">
        <v>15</v>
      </c>
      <c r="G6" s="7" t="s">
        <v>920</v>
      </c>
      <c r="H6" s="7" t="s">
        <v>927</v>
      </c>
      <c r="I6" s="7" t="s">
        <v>82</v>
      </c>
      <c r="J6" s="7" t="s">
        <v>267</v>
      </c>
      <c r="K6" s="7"/>
      <c r="L6" s="7" t="s">
        <v>328</v>
      </c>
    </row>
    <row r="7" spans="1:12">
      <c r="A7" s="7" t="s">
        <v>928</v>
      </c>
      <c r="B7" s="7" t="s">
        <v>152</v>
      </c>
      <c r="C7" s="7" t="s">
        <v>205</v>
      </c>
      <c r="D7" s="7" t="s">
        <v>929</v>
      </c>
      <c r="E7" s="7" t="s">
        <v>930</v>
      </c>
      <c r="F7" s="7" t="s">
        <v>15</v>
      </c>
      <c r="G7" s="7" t="s">
        <v>904</v>
      </c>
      <c r="H7" s="7" t="s">
        <v>931</v>
      </c>
      <c r="I7" s="7" t="s">
        <v>82</v>
      </c>
      <c r="J7" s="7" t="s">
        <v>267</v>
      </c>
      <c r="K7" s="7"/>
      <c r="L7" s="7" t="s">
        <v>328</v>
      </c>
    </row>
    <row r="8" spans="1:12">
      <c r="A8" s="7" t="s">
        <v>932</v>
      </c>
      <c r="B8" s="7" t="s">
        <v>152</v>
      </c>
      <c r="C8" s="7" t="s">
        <v>205</v>
      </c>
      <c r="D8" s="7" t="s">
        <v>933</v>
      </c>
      <c r="E8" s="7" t="s">
        <v>934</v>
      </c>
      <c r="F8" s="7" t="s">
        <v>15</v>
      </c>
      <c r="G8" s="7" t="s">
        <v>935</v>
      </c>
      <c r="H8" s="7" t="s">
        <v>625</v>
      </c>
      <c r="I8" s="7" t="s">
        <v>82</v>
      </c>
      <c r="J8" s="7" t="s">
        <v>267</v>
      </c>
      <c r="K8" s="7"/>
      <c r="L8" s="7" t="s">
        <v>328</v>
      </c>
    </row>
    <row r="9" spans="1:12">
      <c r="A9" s="7" t="s">
        <v>936</v>
      </c>
      <c r="B9" s="7" t="s">
        <v>152</v>
      </c>
      <c r="C9" s="7" t="s">
        <v>205</v>
      </c>
      <c r="D9" s="7" t="s">
        <v>937</v>
      </c>
      <c r="E9" s="7" t="s">
        <v>919</v>
      </c>
      <c r="F9" s="7" t="s">
        <v>938</v>
      </c>
      <c r="G9" s="7" t="s">
        <v>939</v>
      </c>
      <c r="H9" s="7" t="s">
        <v>940</v>
      </c>
      <c r="I9" s="7" t="s">
        <v>82</v>
      </c>
      <c r="J9" s="7" t="s">
        <v>267</v>
      </c>
      <c r="K9" s="7"/>
      <c r="L9" s="7" t="s">
        <v>328</v>
      </c>
    </row>
    <row r="10" spans="1:12">
      <c r="A10" s="7" t="s">
        <v>941</v>
      </c>
      <c r="B10" s="7" t="s">
        <v>152</v>
      </c>
      <c r="C10" s="7" t="s">
        <v>205</v>
      </c>
      <c r="D10" s="7" t="s">
        <v>942</v>
      </c>
      <c r="E10" s="7" t="s">
        <v>919</v>
      </c>
      <c r="F10" s="7" t="s">
        <v>938</v>
      </c>
      <c r="G10" s="7" t="s">
        <v>683</v>
      </c>
      <c r="H10" s="7" t="s">
        <v>943</v>
      </c>
      <c r="I10" s="7" t="s">
        <v>82</v>
      </c>
      <c r="J10" s="7" t="s">
        <v>267</v>
      </c>
      <c r="K10" s="7"/>
      <c r="L10" s="7" t="s">
        <v>328</v>
      </c>
    </row>
    <row r="11" spans="1:12" ht="28.5" customHeight="1">
      <c r="A11" s="7" t="s">
        <v>944</v>
      </c>
      <c r="B11" s="7" t="s">
        <v>152</v>
      </c>
      <c r="C11" s="7" t="s">
        <v>205</v>
      </c>
      <c r="D11" s="7" t="s">
        <v>945</v>
      </c>
      <c r="E11" s="7" t="s">
        <v>934</v>
      </c>
      <c r="F11" s="7" t="s">
        <v>15</v>
      </c>
      <c r="G11" s="7" t="s">
        <v>946</v>
      </c>
      <c r="H11" s="7" t="s">
        <v>947</v>
      </c>
      <c r="I11" s="7" t="s">
        <v>82</v>
      </c>
      <c r="J11" s="7" t="s">
        <v>267</v>
      </c>
      <c r="K11" s="7"/>
      <c r="L11" s="7" t="s">
        <v>328</v>
      </c>
    </row>
    <row r="12" spans="1:12" ht="28.5" customHeight="1">
      <c r="A12" s="7" t="s">
        <v>948</v>
      </c>
      <c r="B12" s="7" t="s">
        <v>188</v>
      </c>
      <c r="C12" s="7" t="s">
        <v>205</v>
      </c>
      <c r="D12" s="7" t="s">
        <v>949</v>
      </c>
      <c r="E12" s="7" t="s">
        <v>950</v>
      </c>
      <c r="F12" s="7" t="s">
        <v>951</v>
      </c>
      <c r="G12" s="7" t="s">
        <v>514</v>
      </c>
      <c r="H12" s="7" t="s">
        <v>952</v>
      </c>
      <c r="I12" s="7" t="s">
        <v>403</v>
      </c>
      <c r="J12" s="7" t="s">
        <v>267</v>
      </c>
      <c r="K12" s="7"/>
      <c r="L12" s="7" t="s">
        <v>404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2">
    <cfRule type="expression" dxfId="33" priority="1">
      <formula>B4="Unit"</formula>
    </cfRule>
    <cfRule type="expression" dxfId="32" priority="2">
      <formula>B4="Integration"</formula>
    </cfRule>
    <cfRule type="expression" dxfId="31" priority="3">
      <formula>B4="System"</formula>
    </cfRule>
    <cfRule type="expression" dxfId="30" priority="4">
      <formula>B4="UAT"</formula>
    </cfRule>
  </conditionalFormatting>
  <dataValidations count="4">
    <dataValidation type="list" allowBlank="1" sqref="B4:B12" xr:uid="{00000000-0002-0000-0900-000000000000}">
      <formula1>"Unit,Integration,System,UAT"</formula1>
    </dataValidation>
    <dataValidation type="list" allowBlank="1" sqref="I4:I12" xr:uid="{00000000-0002-0000-09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2" xr:uid="{00000000-0002-0000-0900-000002000000}">
      <formula1>"No,Yes,Candidate"</formula1>
    </dataValidation>
    <dataValidation type="list" allowBlank="1" sqref="J4:J12" xr:uid="{00000000-0002-0000-09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953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954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3</v>
      </c>
      <c r="B3" s="6" t="s">
        <v>254</v>
      </c>
      <c r="C3" s="6" t="s">
        <v>4</v>
      </c>
      <c r="D3" s="6" t="s">
        <v>255</v>
      </c>
      <c r="E3" s="6" t="s">
        <v>256</v>
      </c>
      <c r="F3" s="6" t="s">
        <v>257</v>
      </c>
      <c r="G3" s="6" t="s">
        <v>258</v>
      </c>
      <c r="H3" s="6" t="s">
        <v>259</v>
      </c>
      <c r="I3" s="6" t="s">
        <v>260</v>
      </c>
      <c r="J3" s="6" t="s">
        <v>261</v>
      </c>
      <c r="K3" s="6" t="s">
        <v>12</v>
      </c>
      <c r="L3" s="6" t="s">
        <v>262</v>
      </c>
    </row>
    <row r="4" spans="1:12">
      <c r="A4" s="7" t="s">
        <v>955</v>
      </c>
      <c r="B4" s="7" t="s">
        <v>183</v>
      </c>
      <c r="C4" s="7" t="s">
        <v>207</v>
      </c>
      <c r="D4" s="7" t="s">
        <v>956</v>
      </c>
      <c r="E4" s="7" t="s">
        <v>413</v>
      </c>
      <c r="F4" s="7" t="s">
        <v>15</v>
      </c>
      <c r="G4" s="7" t="s">
        <v>446</v>
      </c>
      <c r="H4" s="7" t="s">
        <v>957</v>
      </c>
      <c r="I4" s="7" t="s">
        <v>82</v>
      </c>
      <c r="J4" s="7" t="s">
        <v>267</v>
      </c>
      <c r="K4" s="7"/>
      <c r="L4" s="7" t="s">
        <v>328</v>
      </c>
    </row>
    <row r="5" spans="1:12">
      <c r="A5" s="7" t="s">
        <v>958</v>
      </c>
      <c r="B5" s="7" t="s">
        <v>183</v>
      </c>
      <c r="C5" s="7" t="s">
        <v>207</v>
      </c>
      <c r="D5" s="7" t="s">
        <v>959</v>
      </c>
      <c r="E5" s="7" t="s">
        <v>413</v>
      </c>
      <c r="F5" s="7" t="s">
        <v>15</v>
      </c>
      <c r="G5" s="7" t="s">
        <v>960</v>
      </c>
      <c r="H5" s="7" t="s">
        <v>961</v>
      </c>
      <c r="I5" s="7" t="s">
        <v>82</v>
      </c>
      <c r="J5" s="7" t="s">
        <v>267</v>
      </c>
      <c r="K5" s="7"/>
      <c r="L5" s="7" t="s">
        <v>328</v>
      </c>
    </row>
    <row r="6" spans="1:12">
      <c r="A6" s="7" t="s">
        <v>962</v>
      </c>
      <c r="B6" s="7" t="s">
        <v>183</v>
      </c>
      <c r="C6" s="7" t="s">
        <v>207</v>
      </c>
      <c r="D6" s="7" t="s">
        <v>963</v>
      </c>
      <c r="E6" s="7" t="s">
        <v>964</v>
      </c>
      <c r="F6" s="7" t="s">
        <v>15</v>
      </c>
      <c r="G6" s="7" t="s">
        <v>965</v>
      </c>
      <c r="H6" s="7" t="s">
        <v>966</v>
      </c>
      <c r="I6" s="7" t="s">
        <v>82</v>
      </c>
      <c r="J6" s="7" t="s">
        <v>267</v>
      </c>
      <c r="K6" s="7"/>
      <c r="L6" s="7" t="s">
        <v>328</v>
      </c>
    </row>
    <row r="7" spans="1:12">
      <c r="A7" s="7" t="s">
        <v>967</v>
      </c>
      <c r="B7" s="7" t="s">
        <v>183</v>
      </c>
      <c r="C7" s="7" t="s">
        <v>207</v>
      </c>
      <c r="D7" s="7" t="s">
        <v>968</v>
      </c>
      <c r="E7" s="7" t="s">
        <v>964</v>
      </c>
      <c r="F7" s="7" t="s">
        <v>15</v>
      </c>
      <c r="G7" s="7" t="s">
        <v>969</v>
      </c>
      <c r="H7" s="7" t="s">
        <v>970</v>
      </c>
      <c r="I7" s="7" t="s">
        <v>82</v>
      </c>
      <c r="J7" s="7" t="s">
        <v>267</v>
      </c>
      <c r="K7" s="7"/>
      <c r="L7" s="7" t="s">
        <v>328</v>
      </c>
    </row>
    <row r="8" spans="1:12">
      <c r="A8" s="7" t="s">
        <v>971</v>
      </c>
      <c r="B8" s="7" t="s">
        <v>183</v>
      </c>
      <c r="C8" s="7" t="s">
        <v>207</v>
      </c>
      <c r="D8" s="7" t="s">
        <v>972</v>
      </c>
      <c r="E8" s="7" t="s">
        <v>964</v>
      </c>
      <c r="F8" s="7" t="s">
        <v>15</v>
      </c>
      <c r="G8" s="7" t="s">
        <v>965</v>
      </c>
      <c r="H8" s="7" t="s">
        <v>973</v>
      </c>
      <c r="I8" s="7" t="s">
        <v>82</v>
      </c>
      <c r="J8" s="7" t="s">
        <v>267</v>
      </c>
      <c r="K8" s="7"/>
      <c r="L8" s="7" t="s">
        <v>328</v>
      </c>
    </row>
    <row r="9" spans="1:12">
      <c r="A9" s="7" t="s">
        <v>974</v>
      </c>
      <c r="B9" s="7" t="s">
        <v>185</v>
      </c>
      <c r="C9" s="7" t="s">
        <v>207</v>
      </c>
      <c r="D9" s="7" t="s">
        <v>975</v>
      </c>
      <c r="E9" s="7" t="s">
        <v>964</v>
      </c>
      <c r="F9" s="7" t="s">
        <v>15</v>
      </c>
      <c r="G9" s="7" t="s">
        <v>976</v>
      </c>
      <c r="H9" s="7" t="s">
        <v>977</v>
      </c>
      <c r="I9" s="7" t="s">
        <v>82</v>
      </c>
      <c r="J9" s="7" t="s">
        <v>267</v>
      </c>
      <c r="K9" s="7"/>
      <c r="L9" s="7" t="s">
        <v>328</v>
      </c>
    </row>
    <row r="10" spans="1:12">
      <c r="A10" s="7" t="s">
        <v>978</v>
      </c>
      <c r="B10" s="7" t="s">
        <v>183</v>
      </c>
      <c r="C10" s="7" t="s">
        <v>207</v>
      </c>
      <c r="D10" s="7" t="s">
        <v>979</v>
      </c>
      <c r="E10" s="7" t="s">
        <v>964</v>
      </c>
      <c r="F10" s="7" t="s">
        <v>15</v>
      </c>
      <c r="G10" s="7" t="s">
        <v>965</v>
      </c>
      <c r="H10" s="7" t="s">
        <v>980</v>
      </c>
      <c r="I10" s="7" t="s">
        <v>82</v>
      </c>
      <c r="J10" s="7" t="s">
        <v>267</v>
      </c>
      <c r="K10" s="7"/>
      <c r="L10" s="7" t="s">
        <v>328</v>
      </c>
    </row>
    <row r="11" spans="1:12">
      <c r="A11" s="7" t="s">
        <v>981</v>
      </c>
      <c r="B11" s="7" t="s">
        <v>185</v>
      </c>
      <c r="C11" s="7" t="s">
        <v>207</v>
      </c>
      <c r="D11" s="7" t="s">
        <v>982</v>
      </c>
      <c r="E11" s="7" t="s">
        <v>964</v>
      </c>
      <c r="F11" s="7" t="s">
        <v>15</v>
      </c>
      <c r="G11" s="7" t="s">
        <v>983</v>
      </c>
      <c r="H11" s="7" t="s">
        <v>984</v>
      </c>
      <c r="I11" s="7" t="s">
        <v>82</v>
      </c>
      <c r="J11" s="7" t="s">
        <v>267</v>
      </c>
      <c r="K11" s="7"/>
      <c r="L11" s="7" t="s">
        <v>328</v>
      </c>
    </row>
    <row r="12" spans="1:12">
      <c r="A12" s="7" t="s">
        <v>985</v>
      </c>
      <c r="B12" s="7" t="s">
        <v>183</v>
      </c>
      <c r="C12" s="7" t="s">
        <v>207</v>
      </c>
      <c r="D12" s="7" t="s">
        <v>986</v>
      </c>
      <c r="E12" s="7" t="s">
        <v>964</v>
      </c>
      <c r="F12" s="7" t="s">
        <v>15</v>
      </c>
      <c r="G12" s="7" t="s">
        <v>965</v>
      </c>
      <c r="H12" s="7" t="s">
        <v>385</v>
      </c>
      <c r="I12" s="7" t="s">
        <v>82</v>
      </c>
      <c r="J12" s="7" t="s">
        <v>267</v>
      </c>
      <c r="K12" s="7"/>
      <c r="L12" s="7" t="s">
        <v>328</v>
      </c>
    </row>
    <row r="13" spans="1:12">
      <c r="A13" s="7" t="s">
        <v>987</v>
      </c>
      <c r="B13" s="7" t="s">
        <v>185</v>
      </c>
      <c r="C13" s="7" t="s">
        <v>207</v>
      </c>
      <c r="D13" s="7" t="s">
        <v>988</v>
      </c>
      <c r="E13" s="7" t="s">
        <v>964</v>
      </c>
      <c r="F13" s="7" t="s">
        <v>15</v>
      </c>
      <c r="G13" s="7" t="s">
        <v>989</v>
      </c>
      <c r="H13" s="7" t="s">
        <v>990</v>
      </c>
      <c r="I13" s="7" t="s">
        <v>82</v>
      </c>
      <c r="J13" s="7" t="s">
        <v>267</v>
      </c>
      <c r="K13" s="7"/>
      <c r="L13" s="7" t="s">
        <v>328</v>
      </c>
    </row>
    <row r="14" spans="1:12">
      <c r="A14" s="7" t="s">
        <v>991</v>
      </c>
      <c r="B14" s="7" t="s">
        <v>185</v>
      </c>
      <c r="C14" s="7" t="s">
        <v>207</v>
      </c>
      <c r="D14" s="7" t="s">
        <v>992</v>
      </c>
      <c r="E14" s="7" t="s">
        <v>964</v>
      </c>
      <c r="F14" s="7" t="s">
        <v>15</v>
      </c>
      <c r="G14" s="7" t="s">
        <v>993</v>
      </c>
      <c r="H14" s="7" t="s">
        <v>994</v>
      </c>
      <c r="I14" s="7" t="s">
        <v>82</v>
      </c>
      <c r="J14" s="7" t="s">
        <v>267</v>
      </c>
      <c r="K14" s="7"/>
      <c r="L14" s="7" t="s">
        <v>328</v>
      </c>
    </row>
    <row r="15" spans="1:12" ht="28.5" customHeight="1">
      <c r="A15" s="7" t="s">
        <v>995</v>
      </c>
      <c r="B15" s="7" t="s">
        <v>188</v>
      </c>
      <c r="C15" s="7" t="s">
        <v>207</v>
      </c>
      <c r="D15" s="7" t="s">
        <v>996</v>
      </c>
      <c r="E15" s="7" t="s">
        <v>997</v>
      </c>
      <c r="F15" s="7" t="s">
        <v>998</v>
      </c>
      <c r="G15" s="7" t="s">
        <v>514</v>
      </c>
      <c r="H15" s="7" t="s">
        <v>999</v>
      </c>
      <c r="I15" s="7" t="s">
        <v>403</v>
      </c>
      <c r="J15" s="7" t="s">
        <v>267</v>
      </c>
      <c r="K15" s="7"/>
      <c r="L15" s="7" t="s">
        <v>404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5">
    <cfRule type="expression" dxfId="29" priority="1">
      <formula>B4="Unit"</formula>
    </cfRule>
    <cfRule type="expression" dxfId="28" priority="2">
      <formula>B4="Integration"</formula>
    </cfRule>
    <cfRule type="expression" dxfId="27" priority="3">
      <formula>B4="System"</formula>
    </cfRule>
    <cfRule type="expression" dxfId="26" priority="4">
      <formula>B4="UAT"</formula>
    </cfRule>
  </conditionalFormatting>
  <dataValidations count="4">
    <dataValidation type="list" allowBlank="1" sqref="B4:B15" xr:uid="{00000000-0002-0000-0A00-000000000000}">
      <formula1>"Unit,Integration,System,UAT"</formula1>
    </dataValidation>
    <dataValidation type="list" allowBlank="1" sqref="I4:I15" xr:uid="{00000000-0002-0000-0A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5" xr:uid="{00000000-0002-0000-0A00-000002000000}">
      <formula1>"No,Yes,Candidate"</formula1>
    </dataValidation>
    <dataValidation type="list" allowBlank="1" sqref="J4:J15" xr:uid="{00000000-0002-0000-0A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1000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1001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3</v>
      </c>
      <c r="B3" s="6" t="s">
        <v>254</v>
      </c>
      <c r="C3" s="6" t="s">
        <v>4</v>
      </c>
      <c r="D3" s="6" t="s">
        <v>255</v>
      </c>
      <c r="E3" s="6" t="s">
        <v>256</v>
      </c>
      <c r="F3" s="6" t="s">
        <v>257</v>
      </c>
      <c r="G3" s="6" t="s">
        <v>258</v>
      </c>
      <c r="H3" s="6" t="s">
        <v>259</v>
      </c>
      <c r="I3" s="6" t="s">
        <v>260</v>
      </c>
      <c r="J3" s="6" t="s">
        <v>261</v>
      </c>
      <c r="K3" s="6" t="s">
        <v>12</v>
      </c>
      <c r="L3" s="6" t="s">
        <v>262</v>
      </c>
    </row>
    <row r="4" spans="1:12">
      <c r="A4" s="7" t="s">
        <v>1002</v>
      </c>
      <c r="B4" s="7" t="s">
        <v>152</v>
      </c>
      <c r="C4" s="7" t="s">
        <v>209</v>
      </c>
      <c r="D4" s="7" t="s">
        <v>1003</v>
      </c>
      <c r="E4" s="7" t="s">
        <v>1004</v>
      </c>
      <c r="F4" s="7" t="s">
        <v>15</v>
      </c>
      <c r="G4" s="7" t="s">
        <v>965</v>
      </c>
      <c r="H4" s="7" t="s">
        <v>1003</v>
      </c>
      <c r="I4" s="7" t="s">
        <v>82</v>
      </c>
      <c r="J4" s="7" t="s">
        <v>267</v>
      </c>
      <c r="K4" s="7"/>
      <c r="L4" s="7" t="s">
        <v>328</v>
      </c>
    </row>
    <row r="5" spans="1:12" ht="28.5" customHeight="1">
      <c r="A5" s="7" t="s">
        <v>1005</v>
      </c>
      <c r="B5" s="7" t="s">
        <v>152</v>
      </c>
      <c r="C5" s="7" t="s">
        <v>209</v>
      </c>
      <c r="D5" s="7" t="s">
        <v>1006</v>
      </c>
      <c r="E5" s="7" t="s">
        <v>701</v>
      </c>
      <c r="F5" s="7" t="s">
        <v>702</v>
      </c>
      <c r="G5" s="7" t="s">
        <v>1007</v>
      </c>
      <c r="H5" s="7" t="s">
        <v>1008</v>
      </c>
      <c r="I5" s="7" t="s">
        <v>82</v>
      </c>
      <c r="J5" s="7" t="s">
        <v>267</v>
      </c>
      <c r="K5" s="7"/>
      <c r="L5" s="7" t="s">
        <v>328</v>
      </c>
    </row>
    <row r="6" spans="1:12" ht="28.5" customHeight="1">
      <c r="A6" s="7" t="s">
        <v>1009</v>
      </c>
      <c r="B6" s="7" t="s">
        <v>152</v>
      </c>
      <c r="C6" s="7" t="s">
        <v>209</v>
      </c>
      <c r="D6" s="7" t="s">
        <v>1010</v>
      </c>
      <c r="E6" s="7" t="s">
        <v>701</v>
      </c>
      <c r="F6" s="7" t="s">
        <v>702</v>
      </c>
      <c r="G6" s="7" t="s">
        <v>1011</v>
      </c>
      <c r="H6" s="7" t="s">
        <v>1012</v>
      </c>
      <c r="I6" s="7" t="s">
        <v>82</v>
      </c>
      <c r="J6" s="7" t="s">
        <v>267</v>
      </c>
      <c r="K6" s="7"/>
      <c r="L6" s="7" t="s">
        <v>328</v>
      </c>
    </row>
    <row r="7" spans="1:12" ht="28.5" customHeight="1">
      <c r="A7" s="7" t="s">
        <v>1013</v>
      </c>
      <c r="B7" s="7" t="s">
        <v>152</v>
      </c>
      <c r="C7" s="7" t="s">
        <v>209</v>
      </c>
      <c r="D7" s="7" t="s">
        <v>1014</v>
      </c>
      <c r="E7" s="7" t="s">
        <v>1015</v>
      </c>
      <c r="F7" s="7" t="s">
        <v>702</v>
      </c>
      <c r="G7" s="7" t="s">
        <v>1016</v>
      </c>
      <c r="H7" s="7" t="s">
        <v>1017</v>
      </c>
      <c r="I7" s="7" t="s">
        <v>82</v>
      </c>
      <c r="J7" s="7" t="s">
        <v>267</v>
      </c>
      <c r="K7" s="7"/>
      <c r="L7" s="7" t="s">
        <v>328</v>
      </c>
    </row>
    <row r="8" spans="1:12">
      <c r="A8" s="7" t="s">
        <v>1018</v>
      </c>
      <c r="B8" s="7" t="s">
        <v>152</v>
      </c>
      <c r="C8" s="7" t="s">
        <v>209</v>
      </c>
      <c r="D8" s="7" t="s">
        <v>1019</v>
      </c>
      <c r="E8" s="7" t="s">
        <v>413</v>
      </c>
      <c r="F8" s="7" t="s">
        <v>15</v>
      </c>
      <c r="G8" s="7" t="s">
        <v>1020</v>
      </c>
      <c r="H8" s="7" t="s">
        <v>1021</v>
      </c>
      <c r="I8" s="7" t="s">
        <v>82</v>
      </c>
      <c r="J8" s="7" t="s">
        <v>267</v>
      </c>
      <c r="K8" s="7"/>
      <c r="L8" s="7" t="s">
        <v>328</v>
      </c>
    </row>
    <row r="9" spans="1:12">
      <c r="A9" s="7" t="s">
        <v>1022</v>
      </c>
      <c r="B9" s="7" t="s">
        <v>152</v>
      </c>
      <c r="C9" s="7" t="s">
        <v>209</v>
      </c>
      <c r="D9" s="7" t="s">
        <v>1023</v>
      </c>
      <c r="E9" s="7" t="s">
        <v>413</v>
      </c>
      <c r="F9" s="7" t="s">
        <v>15</v>
      </c>
      <c r="G9" s="7" t="s">
        <v>1024</v>
      </c>
      <c r="H9" s="7" t="s">
        <v>1025</v>
      </c>
      <c r="I9" s="7" t="s">
        <v>82</v>
      </c>
      <c r="J9" s="7" t="s">
        <v>267</v>
      </c>
      <c r="K9" s="7"/>
      <c r="L9" s="7" t="s">
        <v>328</v>
      </c>
    </row>
    <row r="10" spans="1:12">
      <c r="A10" s="7" t="s">
        <v>1026</v>
      </c>
      <c r="B10" s="7" t="s">
        <v>152</v>
      </c>
      <c r="C10" s="7" t="s">
        <v>209</v>
      </c>
      <c r="D10" s="7" t="s">
        <v>1027</v>
      </c>
      <c r="E10" s="7" t="s">
        <v>1028</v>
      </c>
      <c r="F10" s="7" t="s">
        <v>15</v>
      </c>
      <c r="G10" s="7" t="s">
        <v>1029</v>
      </c>
      <c r="H10" s="7" t="s">
        <v>1030</v>
      </c>
      <c r="I10" s="7" t="s">
        <v>82</v>
      </c>
      <c r="J10" s="7" t="s">
        <v>267</v>
      </c>
      <c r="K10" s="7"/>
      <c r="L10" s="7" t="s">
        <v>328</v>
      </c>
    </row>
    <row r="11" spans="1:12" ht="28.5" customHeight="1">
      <c r="A11" s="7" t="s">
        <v>1031</v>
      </c>
      <c r="B11" s="7" t="s">
        <v>188</v>
      </c>
      <c r="C11" s="7" t="s">
        <v>209</v>
      </c>
      <c r="D11" s="7" t="s">
        <v>1032</v>
      </c>
      <c r="E11" s="7" t="s">
        <v>1033</v>
      </c>
      <c r="F11" s="7" t="s">
        <v>1034</v>
      </c>
      <c r="G11" s="7" t="s">
        <v>1035</v>
      </c>
      <c r="H11" s="7" t="s">
        <v>1036</v>
      </c>
      <c r="I11" s="7" t="s">
        <v>403</v>
      </c>
      <c r="J11" s="7" t="s">
        <v>267</v>
      </c>
      <c r="K11" s="7"/>
      <c r="L11" s="7" t="s">
        <v>404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1">
    <cfRule type="expression" dxfId="25" priority="1">
      <formula>B4="Unit"</formula>
    </cfRule>
    <cfRule type="expression" dxfId="24" priority="2">
      <formula>B4="Integration"</formula>
    </cfRule>
    <cfRule type="expression" dxfId="23" priority="3">
      <formula>B4="System"</formula>
    </cfRule>
    <cfRule type="expression" dxfId="22" priority="4">
      <formula>B4="UAT"</formula>
    </cfRule>
  </conditionalFormatting>
  <dataValidations count="4">
    <dataValidation type="list" allowBlank="1" sqref="B4:B11" xr:uid="{00000000-0002-0000-0B00-000000000000}">
      <formula1>"Unit,Integration,System,UAT"</formula1>
    </dataValidation>
    <dataValidation type="list" allowBlank="1" sqref="I4:I11" xr:uid="{00000000-0002-0000-0B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1" xr:uid="{00000000-0002-0000-0B00-000002000000}">
      <formula1>"No,Yes,Candidate"</formula1>
    </dataValidation>
    <dataValidation type="list" allowBlank="1" sqref="J4:J11" xr:uid="{00000000-0002-0000-0B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1037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1038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3</v>
      </c>
      <c r="B3" s="6" t="s">
        <v>254</v>
      </c>
      <c r="C3" s="6" t="s">
        <v>4</v>
      </c>
      <c r="D3" s="6" t="s">
        <v>255</v>
      </c>
      <c r="E3" s="6" t="s">
        <v>256</v>
      </c>
      <c r="F3" s="6" t="s">
        <v>257</v>
      </c>
      <c r="G3" s="6" t="s">
        <v>258</v>
      </c>
      <c r="H3" s="6" t="s">
        <v>259</v>
      </c>
      <c r="I3" s="6" t="s">
        <v>260</v>
      </c>
      <c r="J3" s="6" t="s">
        <v>261</v>
      </c>
      <c r="K3" s="6" t="s">
        <v>12</v>
      </c>
      <c r="L3" s="6" t="s">
        <v>262</v>
      </c>
    </row>
    <row r="4" spans="1:12" ht="28.5" customHeight="1">
      <c r="A4" s="7" t="s">
        <v>1039</v>
      </c>
      <c r="B4" s="7" t="s">
        <v>152</v>
      </c>
      <c r="C4" s="7" t="s">
        <v>211</v>
      </c>
      <c r="D4" s="7" t="s">
        <v>1040</v>
      </c>
      <c r="E4" s="7" t="s">
        <v>1041</v>
      </c>
      <c r="F4" s="7" t="s">
        <v>394</v>
      </c>
      <c r="G4" s="7" t="s">
        <v>1042</v>
      </c>
      <c r="H4" s="7" t="s">
        <v>1043</v>
      </c>
      <c r="I4" s="7" t="s">
        <v>15</v>
      </c>
      <c r="J4" s="7" t="s">
        <v>267</v>
      </c>
      <c r="K4" s="7"/>
      <c r="L4" s="7" t="s">
        <v>328</v>
      </c>
    </row>
    <row r="5" spans="1:12" ht="28.5" customHeight="1">
      <c r="A5" s="7" t="s">
        <v>1044</v>
      </c>
      <c r="B5" s="7" t="s">
        <v>152</v>
      </c>
      <c r="C5" s="7" t="s">
        <v>211</v>
      </c>
      <c r="D5" s="7" t="s">
        <v>1045</v>
      </c>
      <c r="E5" s="7" t="s">
        <v>1041</v>
      </c>
      <c r="F5" s="7" t="s">
        <v>1046</v>
      </c>
      <c r="G5" s="7" t="s">
        <v>1047</v>
      </c>
      <c r="H5" s="7" t="s">
        <v>1043</v>
      </c>
      <c r="I5" s="7" t="s">
        <v>15</v>
      </c>
      <c r="J5" s="7" t="s">
        <v>267</v>
      </c>
      <c r="K5" s="7"/>
      <c r="L5" s="7" t="s">
        <v>328</v>
      </c>
    </row>
    <row r="6" spans="1:12" ht="28.5" customHeight="1">
      <c r="A6" s="7" t="s">
        <v>1048</v>
      </c>
      <c r="B6" s="7" t="s">
        <v>152</v>
      </c>
      <c r="C6" s="7" t="s">
        <v>211</v>
      </c>
      <c r="D6" s="7" t="s">
        <v>1049</v>
      </c>
      <c r="E6" s="7" t="s">
        <v>1041</v>
      </c>
      <c r="F6" s="7" t="s">
        <v>1050</v>
      </c>
      <c r="G6" s="7" t="s">
        <v>1051</v>
      </c>
      <c r="H6" s="7" t="s">
        <v>1043</v>
      </c>
      <c r="I6" s="7" t="s">
        <v>15</v>
      </c>
      <c r="J6" s="7" t="s">
        <v>267</v>
      </c>
      <c r="K6" s="7"/>
      <c r="L6" s="7" t="s">
        <v>328</v>
      </c>
    </row>
    <row r="7" spans="1:12" ht="28.5" customHeight="1">
      <c r="A7" s="7" t="s">
        <v>1052</v>
      </c>
      <c r="B7" s="7" t="s">
        <v>152</v>
      </c>
      <c r="C7" s="7" t="s">
        <v>211</v>
      </c>
      <c r="D7" s="7" t="s">
        <v>1053</v>
      </c>
      <c r="E7" s="7" t="s">
        <v>1041</v>
      </c>
      <c r="F7" s="7" t="s">
        <v>1054</v>
      </c>
      <c r="G7" s="7" t="s">
        <v>1055</v>
      </c>
      <c r="H7" s="7" t="s">
        <v>1043</v>
      </c>
      <c r="I7" s="7" t="s">
        <v>15</v>
      </c>
      <c r="J7" s="7" t="s">
        <v>267</v>
      </c>
      <c r="K7" s="7"/>
      <c r="L7" s="7" t="s">
        <v>328</v>
      </c>
    </row>
    <row r="8" spans="1:12" ht="28.5" customHeight="1">
      <c r="A8" s="7" t="s">
        <v>1056</v>
      </c>
      <c r="B8" s="7" t="s">
        <v>152</v>
      </c>
      <c r="C8" s="7" t="s">
        <v>211</v>
      </c>
      <c r="D8" s="7" t="s">
        <v>1057</v>
      </c>
      <c r="E8" s="7" t="s">
        <v>1041</v>
      </c>
      <c r="F8" s="7" t="s">
        <v>1058</v>
      </c>
      <c r="G8" s="7" t="s">
        <v>1059</v>
      </c>
      <c r="H8" s="7" t="s">
        <v>1043</v>
      </c>
      <c r="I8" s="7" t="s">
        <v>15</v>
      </c>
      <c r="J8" s="7" t="s">
        <v>267</v>
      </c>
      <c r="K8" s="7"/>
      <c r="L8" s="7" t="s">
        <v>328</v>
      </c>
    </row>
    <row r="9" spans="1:12" ht="28.5" customHeight="1">
      <c r="A9" s="7" t="s">
        <v>1060</v>
      </c>
      <c r="B9" s="7" t="s">
        <v>152</v>
      </c>
      <c r="C9" s="7" t="s">
        <v>211</v>
      </c>
      <c r="D9" s="7" t="s">
        <v>1061</v>
      </c>
      <c r="E9" s="7" t="s">
        <v>1062</v>
      </c>
      <c r="F9" s="7" t="s">
        <v>394</v>
      </c>
      <c r="G9" s="7" t="s">
        <v>1063</v>
      </c>
      <c r="H9" s="7" t="s">
        <v>1064</v>
      </c>
      <c r="I9" s="7" t="s">
        <v>15</v>
      </c>
      <c r="J9" s="7" t="s">
        <v>267</v>
      </c>
      <c r="K9" s="7"/>
      <c r="L9" s="7" t="s">
        <v>328</v>
      </c>
    </row>
    <row r="10" spans="1:12" ht="28.5" customHeight="1">
      <c r="A10" s="7" t="s">
        <v>1065</v>
      </c>
      <c r="B10" s="7" t="s">
        <v>152</v>
      </c>
      <c r="C10" s="7" t="s">
        <v>211</v>
      </c>
      <c r="D10" s="7" t="s">
        <v>1066</v>
      </c>
      <c r="E10" s="7" t="s">
        <v>1062</v>
      </c>
      <c r="F10" s="7" t="s">
        <v>1046</v>
      </c>
      <c r="G10" s="7" t="s">
        <v>1067</v>
      </c>
      <c r="H10" s="7" t="s">
        <v>1064</v>
      </c>
      <c r="I10" s="7" t="s">
        <v>15</v>
      </c>
      <c r="J10" s="7" t="s">
        <v>267</v>
      </c>
      <c r="K10" s="7"/>
      <c r="L10" s="7" t="s">
        <v>328</v>
      </c>
    </row>
    <row r="11" spans="1:12" ht="28.5" customHeight="1">
      <c r="A11" s="7" t="s">
        <v>1068</v>
      </c>
      <c r="B11" s="7" t="s">
        <v>185</v>
      </c>
      <c r="C11" s="7" t="s">
        <v>211</v>
      </c>
      <c r="D11" s="7" t="s">
        <v>1069</v>
      </c>
      <c r="E11" s="7" t="s">
        <v>413</v>
      </c>
      <c r="F11" s="7" t="s">
        <v>15</v>
      </c>
      <c r="G11" s="7" t="s">
        <v>1070</v>
      </c>
      <c r="H11" s="7" t="s">
        <v>1071</v>
      </c>
      <c r="I11" s="7" t="s">
        <v>82</v>
      </c>
      <c r="J11" s="7" t="s">
        <v>267</v>
      </c>
      <c r="K11" s="7"/>
      <c r="L11" s="7" t="s">
        <v>328</v>
      </c>
    </row>
    <row r="12" spans="1:12" ht="28.5" customHeight="1">
      <c r="A12" s="7" t="s">
        <v>1072</v>
      </c>
      <c r="B12" s="7" t="s">
        <v>185</v>
      </c>
      <c r="C12" s="7" t="s">
        <v>211</v>
      </c>
      <c r="D12" s="7" t="s">
        <v>1073</v>
      </c>
      <c r="E12" s="7" t="s">
        <v>413</v>
      </c>
      <c r="F12" s="7" t="s">
        <v>1074</v>
      </c>
      <c r="G12" s="7" t="s">
        <v>1075</v>
      </c>
      <c r="H12" s="7" t="s">
        <v>1076</v>
      </c>
      <c r="I12" s="7" t="s">
        <v>82</v>
      </c>
      <c r="J12" s="7" t="s">
        <v>267</v>
      </c>
      <c r="K12" s="7"/>
      <c r="L12" s="7" t="s">
        <v>328</v>
      </c>
    </row>
    <row r="13" spans="1:12" ht="28.5" customHeight="1">
      <c r="A13" s="7" t="s">
        <v>1077</v>
      </c>
      <c r="B13" s="7" t="s">
        <v>185</v>
      </c>
      <c r="C13" s="7" t="s">
        <v>211</v>
      </c>
      <c r="D13" s="7" t="s">
        <v>1078</v>
      </c>
      <c r="E13" s="7" t="s">
        <v>413</v>
      </c>
      <c r="F13" s="7" t="s">
        <v>15</v>
      </c>
      <c r="G13" s="7" t="s">
        <v>1079</v>
      </c>
      <c r="H13" s="7" t="s">
        <v>1080</v>
      </c>
      <c r="I13" s="7" t="s">
        <v>82</v>
      </c>
      <c r="J13" s="7" t="s">
        <v>267</v>
      </c>
      <c r="K13" s="7"/>
      <c r="L13" s="7" t="s">
        <v>328</v>
      </c>
    </row>
    <row r="14" spans="1:12" ht="28.5" customHeight="1">
      <c r="A14" s="7" t="s">
        <v>1081</v>
      </c>
      <c r="B14" s="7" t="s">
        <v>152</v>
      </c>
      <c r="C14" s="7" t="s">
        <v>211</v>
      </c>
      <c r="D14" s="7" t="s">
        <v>1082</v>
      </c>
      <c r="E14" s="7" t="s">
        <v>1083</v>
      </c>
      <c r="F14" s="7" t="s">
        <v>1084</v>
      </c>
      <c r="G14" s="7" t="s">
        <v>1085</v>
      </c>
      <c r="H14" s="7" t="s">
        <v>1086</v>
      </c>
      <c r="I14" s="7" t="s">
        <v>82</v>
      </c>
      <c r="J14" s="7" t="s">
        <v>267</v>
      </c>
      <c r="K14" s="7" t="s">
        <v>377</v>
      </c>
      <c r="L14" s="7" t="s">
        <v>328</v>
      </c>
    </row>
    <row r="15" spans="1:12" ht="28.5" customHeight="1">
      <c r="A15" s="7" t="s">
        <v>1087</v>
      </c>
      <c r="B15" s="7" t="s">
        <v>152</v>
      </c>
      <c r="C15" s="7" t="s">
        <v>211</v>
      </c>
      <c r="D15" s="7" t="s">
        <v>1088</v>
      </c>
      <c r="E15" s="7" t="s">
        <v>390</v>
      </c>
      <c r="F15" s="7" t="s">
        <v>15</v>
      </c>
      <c r="G15" s="7" t="s">
        <v>1089</v>
      </c>
      <c r="H15" s="7" t="s">
        <v>1090</v>
      </c>
      <c r="I15" s="7" t="s">
        <v>82</v>
      </c>
      <c r="J15" s="7" t="s">
        <v>267</v>
      </c>
      <c r="K15" s="7" t="s">
        <v>377</v>
      </c>
      <c r="L15" s="7" t="s">
        <v>328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5">
    <cfRule type="expression" dxfId="21" priority="1">
      <formula>B4="Unit"</formula>
    </cfRule>
    <cfRule type="expression" dxfId="20" priority="2">
      <formula>B4="Integration"</formula>
    </cfRule>
    <cfRule type="expression" dxfId="19" priority="3">
      <formula>B4="System"</formula>
    </cfRule>
    <cfRule type="expression" dxfId="18" priority="4">
      <formula>B4="UAT"</formula>
    </cfRule>
  </conditionalFormatting>
  <dataValidations count="4">
    <dataValidation type="list" allowBlank="1" sqref="B4:B15" xr:uid="{00000000-0002-0000-0C00-000000000000}">
      <formula1>"Unit,Integration,System,UAT"</formula1>
    </dataValidation>
    <dataValidation type="list" allowBlank="1" sqref="I4:I15" xr:uid="{00000000-0002-0000-0C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5" xr:uid="{00000000-0002-0000-0C00-000002000000}">
      <formula1>"No,Yes,Candidate"</formula1>
    </dataValidation>
    <dataValidation type="list" allowBlank="1" sqref="J4:J15" xr:uid="{00000000-0002-0000-0C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1091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1092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3</v>
      </c>
      <c r="B3" s="6" t="s">
        <v>254</v>
      </c>
      <c r="C3" s="6" t="s">
        <v>4</v>
      </c>
      <c r="D3" s="6" t="s">
        <v>255</v>
      </c>
      <c r="E3" s="6" t="s">
        <v>256</v>
      </c>
      <c r="F3" s="6" t="s">
        <v>257</v>
      </c>
      <c r="G3" s="6" t="s">
        <v>258</v>
      </c>
      <c r="H3" s="6" t="s">
        <v>259</v>
      </c>
      <c r="I3" s="6" t="s">
        <v>260</v>
      </c>
      <c r="J3" s="6" t="s">
        <v>261</v>
      </c>
      <c r="K3" s="6" t="s">
        <v>12</v>
      </c>
      <c r="L3" s="6" t="s">
        <v>262</v>
      </c>
    </row>
    <row r="4" spans="1:12">
      <c r="A4" s="7" t="s">
        <v>1093</v>
      </c>
      <c r="B4" s="7" t="s">
        <v>183</v>
      </c>
      <c r="C4" s="7" t="s">
        <v>213</v>
      </c>
      <c r="D4" s="7" t="s">
        <v>1094</v>
      </c>
      <c r="E4" s="7" t="s">
        <v>470</v>
      </c>
      <c r="F4" s="7" t="s">
        <v>15</v>
      </c>
      <c r="G4" s="7" t="s">
        <v>1095</v>
      </c>
      <c r="H4" s="7" t="s">
        <v>1096</v>
      </c>
      <c r="I4" s="7" t="s">
        <v>82</v>
      </c>
      <c r="J4" s="7" t="s">
        <v>267</v>
      </c>
      <c r="K4" s="7"/>
      <c r="L4" s="7" t="s">
        <v>328</v>
      </c>
    </row>
    <row r="5" spans="1:12" ht="28.5" customHeight="1">
      <c r="A5" s="7" t="s">
        <v>1097</v>
      </c>
      <c r="B5" s="7" t="s">
        <v>152</v>
      </c>
      <c r="C5" s="7" t="s">
        <v>213</v>
      </c>
      <c r="D5" s="7" t="s">
        <v>1098</v>
      </c>
      <c r="E5" s="7" t="s">
        <v>1099</v>
      </c>
      <c r="F5" s="7" t="s">
        <v>15</v>
      </c>
      <c r="G5" s="7" t="s">
        <v>1100</v>
      </c>
      <c r="H5" s="7" t="s">
        <v>1101</v>
      </c>
      <c r="I5" s="7" t="s">
        <v>82</v>
      </c>
      <c r="J5" s="7" t="s">
        <v>267</v>
      </c>
      <c r="K5" s="7"/>
      <c r="L5" s="7" t="s">
        <v>328</v>
      </c>
    </row>
    <row r="6" spans="1:12">
      <c r="A6" s="7" t="s">
        <v>1102</v>
      </c>
      <c r="B6" s="7" t="s">
        <v>183</v>
      </c>
      <c r="C6" s="7" t="s">
        <v>213</v>
      </c>
      <c r="D6" s="7" t="s">
        <v>1103</v>
      </c>
      <c r="E6" s="7" t="s">
        <v>470</v>
      </c>
      <c r="F6" s="7" t="s">
        <v>15</v>
      </c>
      <c r="G6" s="7" t="s">
        <v>1095</v>
      </c>
      <c r="H6" s="7" t="s">
        <v>1104</v>
      </c>
      <c r="I6" s="7" t="s">
        <v>82</v>
      </c>
      <c r="J6" s="7" t="s">
        <v>267</v>
      </c>
      <c r="K6" s="7"/>
      <c r="L6" s="7" t="s">
        <v>328</v>
      </c>
    </row>
    <row r="7" spans="1:12" ht="28.5" customHeight="1">
      <c r="A7" s="7" t="s">
        <v>1105</v>
      </c>
      <c r="B7" s="7" t="s">
        <v>152</v>
      </c>
      <c r="C7" s="7" t="s">
        <v>213</v>
      </c>
      <c r="D7" s="7" t="s">
        <v>1106</v>
      </c>
      <c r="E7" s="7" t="s">
        <v>1099</v>
      </c>
      <c r="F7" s="7" t="s">
        <v>15</v>
      </c>
      <c r="G7" s="7" t="s">
        <v>1107</v>
      </c>
      <c r="H7" s="7" t="s">
        <v>1108</v>
      </c>
      <c r="I7" s="7" t="s">
        <v>82</v>
      </c>
      <c r="J7" s="7" t="s">
        <v>267</v>
      </c>
      <c r="K7" s="7"/>
      <c r="L7" s="7" t="s">
        <v>328</v>
      </c>
    </row>
    <row r="8" spans="1:12">
      <c r="A8" s="7" t="s">
        <v>1109</v>
      </c>
      <c r="B8" s="7" t="s">
        <v>183</v>
      </c>
      <c r="C8" s="7" t="s">
        <v>213</v>
      </c>
      <c r="D8" s="7" t="s">
        <v>1110</v>
      </c>
      <c r="E8" s="7" t="s">
        <v>470</v>
      </c>
      <c r="F8" s="7" t="s">
        <v>15</v>
      </c>
      <c r="G8" s="7" t="s">
        <v>1095</v>
      </c>
      <c r="H8" s="7" t="s">
        <v>1111</v>
      </c>
      <c r="I8" s="7" t="s">
        <v>82</v>
      </c>
      <c r="J8" s="7" t="s">
        <v>267</v>
      </c>
      <c r="K8" s="7"/>
      <c r="L8" s="7" t="s">
        <v>328</v>
      </c>
    </row>
    <row r="9" spans="1:12" ht="28.5" customHeight="1">
      <c r="A9" s="7" t="s">
        <v>1112</v>
      </c>
      <c r="B9" s="7" t="s">
        <v>152</v>
      </c>
      <c r="C9" s="7" t="s">
        <v>213</v>
      </c>
      <c r="D9" s="7" t="s">
        <v>1113</v>
      </c>
      <c r="E9" s="7" t="s">
        <v>1099</v>
      </c>
      <c r="F9" s="7" t="s">
        <v>15</v>
      </c>
      <c r="G9" s="7" t="s">
        <v>1114</v>
      </c>
      <c r="H9" s="7" t="s">
        <v>1115</v>
      </c>
      <c r="I9" s="7" t="s">
        <v>82</v>
      </c>
      <c r="J9" s="7" t="s">
        <v>267</v>
      </c>
      <c r="K9" s="7"/>
      <c r="L9" s="7" t="s">
        <v>328</v>
      </c>
    </row>
    <row r="10" spans="1:12">
      <c r="A10" s="7" t="s">
        <v>1116</v>
      </c>
      <c r="B10" s="7" t="s">
        <v>183</v>
      </c>
      <c r="C10" s="7" t="s">
        <v>213</v>
      </c>
      <c r="D10" s="7" t="s">
        <v>1117</v>
      </c>
      <c r="E10" s="7" t="s">
        <v>413</v>
      </c>
      <c r="F10" s="7" t="s">
        <v>15</v>
      </c>
      <c r="G10" s="7" t="s">
        <v>1095</v>
      </c>
      <c r="H10" s="7" t="s">
        <v>1118</v>
      </c>
      <c r="I10" s="7" t="s">
        <v>82</v>
      </c>
      <c r="J10" s="7" t="s">
        <v>267</v>
      </c>
      <c r="K10" s="7"/>
      <c r="L10" s="7" t="s">
        <v>328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0">
    <cfRule type="expression" dxfId="17" priority="1">
      <formula>B4="Unit"</formula>
    </cfRule>
    <cfRule type="expression" dxfId="16" priority="2">
      <formula>B4="Integration"</formula>
    </cfRule>
    <cfRule type="expression" dxfId="15" priority="3">
      <formula>B4="System"</formula>
    </cfRule>
    <cfRule type="expression" dxfId="14" priority="4">
      <formula>B4="UAT"</formula>
    </cfRule>
  </conditionalFormatting>
  <dataValidations count="4">
    <dataValidation type="list" allowBlank="1" sqref="B4:B10" xr:uid="{00000000-0002-0000-0D00-000000000000}">
      <formula1>"Unit,Integration,System,UAT"</formula1>
    </dataValidation>
    <dataValidation type="list" allowBlank="1" sqref="I4:I10" xr:uid="{00000000-0002-0000-0D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0" xr:uid="{00000000-0002-0000-0D00-000002000000}">
      <formula1>"No,Yes,Candidate"</formula1>
    </dataValidation>
    <dataValidation type="list" allowBlank="1" sqref="J4:J10" xr:uid="{00000000-0002-0000-0D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1119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1120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3</v>
      </c>
      <c r="B3" s="6" t="s">
        <v>254</v>
      </c>
      <c r="C3" s="6" t="s">
        <v>4</v>
      </c>
      <c r="D3" s="6" t="s">
        <v>255</v>
      </c>
      <c r="E3" s="6" t="s">
        <v>256</v>
      </c>
      <c r="F3" s="6" t="s">
        <v>257</v>
      </c>
      <c r="G3" s="6" t="s">
        <v>258</v>
      </c>
      <c r="H3" s="6" t="s">
        <v>259</v>
      </c>
      <c r="I3" s="6" t="s">
        <v>260</v>
      </c>
      <c r="J3" s="6" t="s">
        <v>261</v>
      </c>
      <c r="K3" s="6" t="s">
        <v>12</v>
      </c>
      <c r="L3" s="6" t="s">
        <v>262</v>
      </c>
    </row>
    <row r="4" spans="1:12" ht="28.5" customHeight="1">
      <c r="A4" s="7" t="s">
        <v>1121</v>
      </c>
      <c r="B4" s="7" t="s">
        <v>152</v>
      </c>
      <c r="C4" s="7" t="s">
        <v>215</v>
      </c>
      <c r="D4" s="7" t="s">
        <v>1122</v>
      </c>
      <c r="E4" s="7" t="s">
        <v>1123</v>
      </c>
      <c r="F4" s="7" t="s">
        <v>1124</v>
      </c>
      <c r="G4" s="7" t="s">
        <v>1125</v>
      </c>
      <c r="H4" s="7" t="s">
        <v>1126</v>
      </c>
      <c r="I4" s="7" t="s">
        <v>82</v>
      </c>
      <c r="J4" s="7" t="s">
        <v>1127</v>
      </c>
      <c r="K4" s="7"/>
      <c r="L4" s="7" t="s">
        <v>328</v>
      </c>
    </row>
    <row r="5" spans="1:12" ht="28.5" customHeight="1">
      <c r="A5" s="7" t="s">
        <v>1128</v>
      </c>
      <c r="B5" s="7" t="s">
        <v>152</v>
      </c>
      <c r="C5" s="7" t="s">
        <v>215</v>
      </c>
      <c r="D5" s="7" t="s">
        <v>1129</v>
      </c>
      <c r="E5" s="7" t="s">
        <v>1123</v>
      </c>
      <c r="F5" s="7" t="s">
        <v>1124</v>
      </c>
      <c r="G5" s="7" t="s">
        <v>1125</v>
      </c>
      <c r="H5" s="7" t="s">
        <v>1130</v>
      </c>
      <c r="I5" s="7" t="s">
        <v>82</v>
      </c>
      <c r="J5" s="7" t="s">
        <v>1127</v>
      </c>
      <c r="K5" s="7"/>
      <c r="L5" s="7" t="s">
        <v>328</v>
      </c>
    </row>
    <row r="6" spans="1:12" ht="28.5" customHeight="1">
      <c r="A6" s="7" t="s">
        <v>1131</v>
      </c>
      <c r="B6" s="7" t="s">
        <v>152</v>
      </c>
      <c r="C6" s="7" t="s">
        <v>215</v>
      </c>
      <c r="D6" s="7" t="s">
        <v>1132</v>
      </c>
      <c r="E6" s="7" t="s">
        <v>1123</v>
      </c>
      <c r="F6" s="7" t="s">
        <v>1124</v>
      </c>
      <c r="G6" s="7" t="s">
        <v>1125</v>
      </c>
      <c r="H6" s="7" t="s">
        <v>1133</v>
      </c>
      <c r="I6" s="7" t="s">
        <v>82</v>
      </c>
      <c r="J6" s="7" t="s">
        <v>1127</v>
      </c>
      <c r="K6" s="7"/>
      <c r="L6" s="7" t="s">
        <v>328</v>
      </c>
    </row>
    <row r="7" spans="1:12" ht="28.5" customHeight="1">
      <c r="A7" s="7" t="s">
        <v>1134</v>
      </c>
      <c r="B7" s="7" t="s">
        <v>152</v>
      </c>
      <c r="C7" s="7" t="s">
        <v>215</v>
      </c>
      <c r="D7" s="7" t="s">
        <v>1135</v>
      </c>
      <c r="E7" s="7" t="s">
        <v>1123</v>
      </c>
      <c r="F7" s="7" t="s">
        <v>1124</v>
      </c>
      <c r="G7" s="7" t="s">
        <v>1125</v>
      </c>
      <c r="H7" s="7" t="s">
        <v>1136</v>
      </c>
      <c r="I7" s="7" t="s">
        <v>82</v>
      </c>
      <c r="J7" s="7" t="s">
        <v>1127</v>
      </c>
      <c r="K7" s="7"/>
      <c r="L7" s="7" t="s">
        <v>328</v>
      </c>
    </row>
    <row r="8" spans="1:12" ht="28.5" customHeight="1">
      <c r="A8" s="7" t="s">
        <v>1137</v>
      </c>
      <c r="B8" s="7" t="s">
        <v>152</v>
      </c>
      <c r="C8" s="7" t="s">
        <v>215</v>
      </c>
      <c r="D8" s="7" t="s">
        <v>1138</v>
      </c>
      <c r="E8" s="7" t="s">
        <v>1123</v>
      </c>
      <c r="F8" s="7" t="s">
        <v>1124</v>
      </c>
      <c r="G8" s="7" t="s">
        <v>1125</v>
      </c>
      <c r="H8" s="7" t="s">
        <v>1139</v>
      </c>
      <c r="I8" s="7" t="s">
        <v>82</v>
      </c>
      <c r="J8" s="7" t="s">
        <v>1127</v>
      </c>
      <c r="K8" s="7"/>
      <c r="L8" s="7" t="s">
        <v>328</v>
      </c>
    </row>
    <row r="9" spans="1:12" ht="28.5" customHeight="1">
      <c r="A9" s="7" t="s">
        <v>1140</v>
      </c>
      <c r="B9" s="7" t="s">
        <v>152</v>
      </c>
      <c r="C9" s="7" t="s">
        <v>215</v>
      </c>
      <c r="D9" s="7" t="s">
        <v>1141</v>
      </c>
      <c r="E9" s="7" t="s">
        <v>1123</v>
      </c>
      <c r="F9" s="7" t="s">
        <v>1124</v>
      </c>
      <c r="G9" s="7" t="s">
        <v>1125</v>
      </c>
      <c r="H9" s="7" t="s">
        <v>1142</v>
      </c>
      <c r="I9" s="7" t="s">
        <v>82</v>
      </c>
      <c r="J9" s="7" t="s">
        <v>1127</v>
      </c>
      <c r="K9" s="7"/>
      <c r="L9" s="7" t="s">
        <v>328</v>
      </c>
    </row>
    <row r="10" spans="1:12" ht="28.5" customHeight="1">
      <c r="A10" s="7" t="s">
        <v>1143</v>
      </c>
      <c r="B10" s="7" t="s">
        <v>152</v>
      </c>
      <c r="C10" s="7" t="s">
        <v>215</v>
      </c>
      <c r="D10" s="7" t="s">
        <v>1144</v>
      </c>
      <c r="E10" s="7" t="s">
        <v>1123</v>
      </c>
      <c r="F10" s="7" t="s">
        <v>1124</v>
      </c>
      <c r="G10" s="7" t="s">
        <v>1125</v>
      </c>
      <c r="H10" s="7" t="s">
        <v>1145</v>
      </c>
      <c r="I10" s="7" t="s">
        <v>82</v>
      </c>
      <c r="J10" s="7" t="s">
        <v>1127</v>
      </c>
      <c r="K10" s="7"/>
      <c r="L10" s="7" t="s">
        <v>328</v>
      </c>
    </row>
    <row r="11" spans="1:12" ht="28.5" customHeight="1">
      <c r="A11" s="7" t="s">
        <v>1146</v>
      </c>
      <c r="B11" s="7" t="s">
        <v>152</v>
      </c>
      <c r="C11" s="7" t="s">
        <v>215</v>
      </c>
      <c r="D11" s="7" t="s">
        <v>1147</v>
      </c>
      <c r="E11" s="7" t="s">
        <v>1123</v>
      </c>
      <c r="F11" s="7" t="s">
        <v>1124</v>
      </c>
      <c r="G11" s="7" t="s">
        <v>1125</v>
      </c>
      <c r="H11" s="7" t="s">
        <v>1148</v>
      </c>
      <c r="I11" s="7" t="s">
        <v>82</v>
      </c>
      <c r="J11" s="7" t="s">
        <v>1127</v>
      </c>
      <c r="K11" s="7"/>
      <c r="L11" s="7" t="s">
        <v>328</v>
      </c>
    </row>
    <row r="12" spans="1:12" ht="28.5" customHeight="1">
      <c r="A12" s="7" t="s">
        <v>1149</v>
      </c>
      <c r="B12" s="7" t="s">
        <v>152</v>
      </c>
      <c r="C12" s="7" t="s">
        <v>215</v>
      </c>
      <c r="D12" s="7" t="s">
        <v>1150</v>
      </c>
      <c r="E12" s="7" t="s">
        <v>1123</v>
      </c>
      <c r="F12" s="7" t="s">
        <v>1124</v>
      </c>
      <c r="G12" s="7" t="s">
        <v>1125</v>
      </c>
      <c r="H12" s="7" t="s">
        <v>1151</v>
      </c>
      <c r="I12" s="7" t="s">
        <v>82</v>
      </c>
      <c r="J12" s="7" t="s">
        <v>1127</v>
      </c>
      <c r="K12" s="7"/>
      <c r="L12" s="7" t="s">
        <v>328</v>
      </c>
    </row>
    <row r="13" spans="1:12" ht="28.5" customHeight="1">
      <c r="A13" s="7" t="s">
        <v>1152</v>
      </c>
      <c r="B13" s="7" t="s">
        <v>152</v>
      </c>
      <c r="C13" s="7" t="s">
        <v>215</v>
      </c>
      <c r="D13" s="7" t="s">
        <v>1153</v>
      </c>
      <c r="E13" s="7" t="s">
        <v>1123</v>
      </c>
      <c r="F13" s="7" t="s">
        <v>1124</v>
      </c>
      <c r="G13" s="7" t="s">
        <v>1125</v>
      </c>
      <c r="H13" s="7" t="s">
        <v>1154</v>
      </c>
      <c r="I13" s="7" t="s">
        <v>82</v>
      </c>
      <c r="J13" s="7" t="s">
        <v>1127</v>
      </c>
      <c r="K13" s="7"/>
      <c r="L13" s="7" t="s">
        <v>328</v>
      </c>
    </row>
    <row r="14" spans="1:12" ht="28.5" customHeight="1">
      <c r="A14" s="7" t="s">
        <v>1155</v>
      </c>
      <c r="B14" s="7" t="s">
        <v>152</v>
      </c>
      <c r="C14" s="7" t="s">
        <v>215</v>
      </c>
      <c r="D14" s="7" t="s">
        <v>1156</v>
      </c>
      <c r="E14" s="7" t="s">
        <v>1123</v>
      </c>
      <c r="F14" s="7" t="s">
        <v>1124</v>
      </c>
      <c r="G14" s="7" t="s">
        <v>1125</v>
      </c>
      <c r="H14" s="7" t="s">
        <v>1157</v>
      </c>
      <c r="I14" s="7" t="s">
        <v>82</v>
      </c>
      <c r="J14" s="7" t="s">
        <v>1127</v>
      </c>
      <c r="K14" s="7"/>
      <c r="L14" s="7" t="s">
        <v>328</v>
      </c>
    </row>
    <row r="15" spans="1:12" ht="28.5" customHeight="1">
      <c r="A15" s="7" t="s">
        <v>1158</v>
      </c>
      <c r="B15" s="7" t="s">
        <v>152</v>
      </c>
      <c r="C15" s="7" t="s">
        <v>215</v>
      </c>
      <c r="D15" s="7" t="s">
        <v>1159</v>
      </c>
      <c r="E15" s="7" t="s">
        <v>1123</v>
      </c>
      <c r="F15" s="7" t="s">
        <v>1124</v>
      </c>
      <c r="G15" s="7" t="s">
        <v>1125</v>
      </c>
      <c r="H15" s="7" t="s">
        <v>1160</v>
      </c>
      <c r="I15" s="7" t="s">
        <v>82</v>
      </c>
      <c r="J15" s="7" t="s">
        <v>1127</v>
      </c>
      <c r="K15" s="7"/>
      <c r="L15" s="7" t="s">
        <v>328</v>
      </c>
    </row>
    <row r="16" spans="1:12" ht="28.5" customHeight="1">
      <c r="A16" s="7" t="s">
        <v>1161</v>
      </c>
      <c r="B16" s="7" t="s">
        <v>152</v>
      </c>
      <c r="C16" s="7" t="s">
        <v>215</v>
      </c>
      <c r="D16" s="7" t="s">
        <v>1162</v>
      </c>
      <c r="E16" s="7" t="s">
        <v>1123</v>
      </c>
      <c r="F16" s="7" t="s">
        <v>1124</v>
      </c>
      <c r="G16" s="7" t="s">
        <v>1125</v>
      </c>
      <c r="H16" s="7" t="s">
        <v>1163</v>
      </c>
      <c r="I16" s="7" t="s">
        <v>106</v>
      </c>
      <c r="J16" s="7" t="s">
        <v>1127</v>
      </c>
      <c r="K16" s="7"/>
      <c r="L16" s="7" t="s">
        <v>328</v>
      </c>
    </row>
    <row r="17" spans="1:12" ht="28.5" customHeight="1">
      <c r="A17" s="7" t="s">
        <v>1164</v>
      </c>
      <c r="B17" s="7" t="s">
        <v>152</v>
      </c>
      <c r="C17" s="7" t="s">
        <v>215</v>
      </c>
      <c r="D17" s="7" t="s">
        <v>1165</v>
      </c>
      <c r="E17" s="7" t="s">
        <v>1123</v>
      </c>
      <c r="F17" s="7" t="s">
        <v>1124</v>
      </c>
      <c r="G17" s="7" t="s">
        <v>1125</v>
      </c>
      <c r="H17" s="7" t="s">
        <v>1166</v>
      </c>
      <c r="I17" s="7" t="s">
        <v>114</v>
      </c>
      <c r="J17" s="7" t="s">
        <v>1127</v>
      </c>
      <c r="K17" s="7"/>
      <c r="L17" s="7" t="s">
        <v>328</v>
      </c>
    </row>
    <row r="18" spans="1:12">
      <c r="A18" s="7" t="s">
        <v>1167</v>
      </c>
      <c r="B18" s="7" t="s">
        <v>183</v>
      </c>
      <c r="C18" s="7" t="s">
        <v>215</v>
      </c>
      <c r="D18" s="7" t="s">
        <v>1168</v>
      </c>
      <c r="E18" s="7" t="s">
        <v>1169</v>
      </c>
      <c r="F18" s="7" t="s">
        <v>1170</v>
      </c>
      <c r="G18" s="7" t="s">
        <v>1171</v>
      </c>
      <c r="H18" s="7" t="s">
        <v>1172</v>
      </c>
      <c r="I18" s="7" t="s">
        <v>82</v>
      </c>
      <c r="J18" s="7" t="s">
        <v>1127</v>
      </c>
      <c r="K18" s="7"/>
      <c r="L18" s="7" t="s">
        <v>328</v>
      </c>
    </row>
    <row r="19" spans="1:12" ht="28.5" customHeight="1">
      <c r="A19" s="7" t="s">
        <v>1173</v>
      </c>
      <c r="B19" s="7" t="s">
        <v>188</v>
      </c>
      <c r="C19" s="7" t="s">
        <v>215</v>
      </c>
      <c r="D19" s="7" t="s">
        <v>1174</v>
      </c>
      <c r="E19" s="7" t="s">
        <v>1175</v>
      </c>
      <c r="F19" s="7" t="s">
        <v>1176</v>
      </c>
      <c r="G19" s="7" t="s">
        <v>514</v>
      </c>
      <c r="H19" s="7" t="s">
        <v>1177</v>
      </c>
      <c r="I19" s="7" t="s">
        <v>403</v>
      </c>
      <c r="J19" s="7" t="s">
        <v>1127</v>
      </c>
      <c r="K19" s="7"/>
      <c r="L19" s="7" t="s">
        <v>404</v>
      </c>
    </row>
    <row r="21" spans="1:12" ht="15.75" customHeight="1"/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9">
    <cfRule type="expression" dxfId="13" priority="1">
      <formula>B4="Unit"</formula>
    </cfRule>
    <cfRule type="expression" dxfId="12" priority="2">
      <formula>B4="Integration"</formula>
    </cfRule>
    <cfRule type="expression" dxfId="11" priority="3">
      <formula>B4="System"</formula>
    </cfRule>
    <cfRule type="expression" dxfId="10" priority="4">
      <formula>B4="UAT"</formula>
    </cfRule>
  </conditionalFormatting>
  <dataValidations count="4">
    <dataValidation type="list" allowBlank="1" sqref="B4:B19" xr:uid="{00000000-0002-0000-0E00-000000000000}">
      <formula1>"Unit,Integration,System,UAT"</formula1>
    </dataValidation>
    <dataValidation type="list" allowBlank="1" sqref="I4:I19" xr:uid="{00000000-0002-0000-0E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9" xr:uid="{00000000-0002-0000-0E00-000002000000}">
      <formula1>"No,Yes,Candidate"</formula1>
    </dataValidation>
    <dataValidation type="list" allowBlank="1" sqref="J4:J19" xr:uid="{00000000-0002-0000-0E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00"/>
  <sheetViews>
    <sheetView workbookViewId="0">
      <selection sqref="A1:L1"/>
    </sheetView>
  </sheetViews>
  <sheetFormatPr defaultColWidth="12.625" defaultRowHeight="15" customHeight="1"/>
  <cols>
    <col min="1" max="1" width="13" customWidth="1"/>
    <col min="2" max="2" width="14" customWidth="1"/>
    <col min="3" max="3" width="23" customWidth="1"/>
    <col min="4" max="4" width="44" customWidth="1"/>
    <col min="5" max="5" width="35" customWidth="1"/>
    <col min="6" max="6" width="32" customWidth="1"/>
    <col min="7" max="7" width="48" customWidth="1"/>
    <col min="8" max="8" width="52" customWidth="1"/>
    <col min="9" max="9" width="24" customWidth="1"/>
    <col min="10" max="10" width="27" customWidth="1"/>
    <col min="11" max="11" width="40" customWidth="1"/>
    <col min="12" max="12" width="18" customWidth="1"/>
    <col min="13" max="26" width="8.625" customWidth="1"/>
  </cols>
  <sheetData>
    <row r="1" spans="1:12" ht="27.75" customHeight="1">
      <c r="A1" s="12" t="s">
        <v>1178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1.75" customHeight="1">
      <c r="A2" s="10" t="s">
        <v>1179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36" customHeight="1">
      <c r="A3" s="6" t="s">
        <v>3</v>
      </c>
      <c r="B3" s="6" t="s">
        <v>254</v>
      </c>
      <c r="C3" s="6" t="s">
        <v>4</v>
      </c>
      <c r="D3" s="6" t="s">
        <v>255</v>
      </c>
      <c r="E3" s="6" t="s">
        <v>256</v>
      </c>
      <c r="F3" s="6" t="s">
        <v>257</v>
      </c>
      <c r="G3" s="6" t="s">
        <v>258</v>
      </c>
      <c r="H3" s="6" t="s">
        <v>259</v>
      </c>
      <c r="I3" s="6" t="s">
        <v>260</v>
      </c>
      <c r="J3" s="6" t="s">
        <v>261</v>
      </c>
      <c r="K3" s="6" t="s">
        <v>12</v>
      </c>
      <c r="L3" s="6" t="s">
        <v>262</v>
      </c>
    </row>
    <row r="4" spans="1:12" ht="99.75" customHeight="1">
      <c r="A4" s="7" t="s">
        <v>1180</v>
      </c>
      <c r="B4" s="7" t="s">
        <v>152</v>
      </c>
      <c r="C4" s="7" t="s">
        <v>217</v>
      </c>
      <c r="D4" s="7" t="s">
        <v>1181</v>
      </c>
      <c r="E4" s="7" t="s">
        <v>1182</v>
      </c>
      <c r="F4" s="7" t="s">
        <v>82</v>
      </c>
      <c r="G4" s="7" t="s">
        <v>1183</v>
      </c>
      <c r="H4" s="7" t="s">
        <v>1184</v>
      </c>
      <c r="I4" s="7" t="s">
        <v>82</v>
      </c>
      <c r="J4" s="7" t="s">
        <v>310</v>
      </c>
      <c r="K4" s="7"/>
      <c r="L4" s="7" t="s">
        <v>328</v>
      </c>
    </row>
    <row r="5" spans="1:12" ht="85.5" customHeight="1">
      <c r="A5" s="7" t="s">
        <v>1185</v>
      </c>
      <c r="B5" s="7" t="s">
        <v>152</v>
      </c>
      <c r="C5" s="7" t="s">
        <v>217</v>
      </c>
      <c r="D5" s="7" t="s">
        <v>1186</v>
      </c>
      <c r="E5" s="7" t="s">
        <v>1182</v>
      </c>
      <c r="F5" s="7" t="s">
        <v>82</v>
      </c>
      <c r="G5" s="7" t="s">
        <v>1187</v>
      </c>
      <c r="H5" s="7" t="s">
        <v>1188</v>
      </c>
      <c r="I5" s="7" t="s">
        <v>82</v>
      </c>
      <c r="J5" s="7" t="s">
        <v>310</v>
      </c>
      <c r="K5" s="7"/>
      <c r="L5" s="7" t="s">
        <v>328</v>
      </c>
    </row>
    <row r="6" spans="1:12" ht="57" customHeight="1">
      <c r="A6" s="7" t="s">
        <v>1189</v>
      </c>
      <c r="B6" s="7" t="s">
        <v>152</v>
      </c>
      <c r="C6" s="7" t="s">
        <v>217</v>
      </c>
      <c r="D6" s="7" t="s">
        <v>1190</v>
      </c>
      <c r="E6" s="7" t="s">
        <v>1182</v>
      </c>
      <c r="F6" s="7" t="s">
        <v>82</v>
      </c>
      <c r="G6" s="7" t="s">
        <v>1191</v>
      </c>
      <c r="H6" s="7" t="s">
        <v>1192</v>
      </c>
      <c r="I6" s="7" t="s">
        <v>82</v>
      </c>
      <c r="J6" s="7" t="s">
        <v>267</v>
      </c>
      <c r="K6" s="7"/>
      <c r="L6" s="7" t="s">
        <v>328</v>
      </c>
    </row>
    <row r="7" spans="1:12" ht="85.5" customHeight="1">
      <c r="A7" s="7" t="s">
        <v>1193</v>
      </c>
      <c r="B7" s="7" t="s">
        <v>152</v>
      </c>
      <c r="C7" s="7" t="s">
        <v>217</v>
      </c>
      <c r="D7" s="7" t="s">
        <v>1194</v>
      </c>
      <c r="E7" s="7" t="s">
        <v>1182</v>
      </c>
      <c r="F7" s="7" t="s">
        <v>82</v>
      </c>
      <c r="G7" s="7" t="s">
        <v>1195</v>
      </c>
      <c r="H7" s="7" t="s">
        <v>1196</v>
      </c>
      <c r="I7" s="7" t="s">
        <v>82</v>
      </c>
      <c r="J7" s="7" t="s">
        <v>267</v>
      </c>
      <c r="K7" s="7"/>
      <c r="L7" s="7" t="s">
        <v>328</v>
      </c>
    </row>
    <row r="8" spans="1:12" ht="57" customHeight="1">
      <c r="A8" s="7" t="s">
        <v>1197</v>
      </c>
      <c r="B8" s="7" t="s">
        <v>152</v>
      </c>
      <c r="C8" s="7" t="s">
        <v>217</v>
      </c>
      <c r="D8" s="7" t="s">
        <v>1198</v>
      </c>
      <c r="E8" s="7" t="s">
        <v>1182</v>
      </c>
      <c r="F8" s="7" t="s">
        <v>82</v>
      </c>
      <c r="G8" s="7" t="s">
        <v>1199</v>
      </c>
      <c r="H8" s="7" t="s">
        <v>1200</v>
      </c>
      <c r="I8" s="7" t="s">
        <v>82</v>
      </c>
      <c r="J8" s="7" t="s">
        <v>267</v>
      </c>
      <c r="K8" s="7"/>
      <c r="L8" s="7" t="s">
        <v>328</v>
      </c>
    </row>
    <row r="9" spans="1:12" ht="42.75" customHeight="1">
      <c r="A9" s="7" t="s">
        <v>1201</v>
      </c>
      <c r="B9" s="7" t="s">
        <v>152</v>
      </c>
      <c r="C9" s="7" t="s">
        <v>217</v>
      </c>
      <c r="D9" s="7" t="s">
        <v>1202</v>
      </c>
      <c r="E9" s="7" t="s">
        <v>1182</v>
      </c>
      <c r="F9" s="7" t="s">
        <v>82</v>
      </c>
      <c r="G9" s="7" t="s">
        <v>1203</v>
      </c>
      <c r="H9" s="7" t="s">
        <v>1204</v>
      </c>
      <c r="I9" s="7" t="s">
        <v>82</v>
      </c>
      <c r="J9" s="7" t="s">
        <v>267</v>
      </c>
      <c r="K9" s="7"/>
      <c r="L9" s="7" t="s">
        <v>328</v>
      </c>
    </row>
    <row r="10" spans="1:12" ht="42.75" customHeight="1">
      <c r="A10" s="7" t="s">
        <v>1205</v>
      </c>
      <c r="B10" s="7" t="s">
        <v>152</v>
      </c>
      <c r="C10" s="7" t="s">
        <v>217</v>
      </c>
      <c r="D10" s="7" t="s">
        <v>1206</v>
      </c>
      <c r="E10" s="7" t="s">
        <v>1182</v>
      </c>
      <c r="F10" s="7" t="s">
        <v>82</v>
      </c>
      <c r="G10" s="7" t="s">
        <v>1207</v>
      </c>
      <c r="H10" s="7" t="s">
        <v>1208</v>
      </c>
      <c r="I10" s="7" t="s">
        <v>82</v>
      </c>
      <c r="J10" s="7" t="s">
        <v>267</v>
      </c>
      <c r="K10" s="7"/>
      <c r="L10" s="7" t="s">
        <v>328</v>
      </c>
    </row>
    <row r="11" spans="1:12">
      <c r="A11" s="7" t="s">
        <v>1209</v>
      </c>
      <c r="B11" s="7" t="s">
        <v>185</v>
      </c>
      <c r="C11" s="7" t="s">
        <v>217</v>
      </c>
      <c r="D11" s="7" t="s">
        <v>1210</v>
      </c>
      <c r="E11" s="7" t="s">
        <v>1211</v>
      </c>
      <c r="F11" s="7" t="s">
        <v>1212</v>
      </c>
      <c r="G11" s="7" t="s">
        <v>1213</v>
      </c>
      <c r="H11" s="7" t="s">
        <v>1214</v>
      </c>
      <c r="I11" s="7" t="s">
        <v>82</v>
      </c>
      <c r="J11" s="7" t="s">
        <v>267</v>
      </c>
      <c r="K11" s="7"/>
      <c r="L11" s="7" t="s">
        <v>328</v>
      </c>
    </row>
    <row r="12" spans="1:12" ht="28.5" customHeight="1">
      <c r="A12" s="7" t="s">
        <v>1215</v>
      </c>
      <c r="B12" s="7" t="s">
        <v>185</v>
      </c>
      <c r="C12" s="7" t="s">
        <v>217</v>
      </c>
      <c r="D12" s="7" t="s">
        <v>1216</v>
      </c>
      <c r="E12" s="7" t="s">
        <v>1217</v>
      </c>
      <c r="F12" s="7" t="s">
        <v>1218</v>
      </c>
      <c r="G12" s="7" t="s">
        <v>1219</v>
      </c>
      <c r="H12" s="7" t="s">
        <v>1220</v>
      </c>
      <c r="I12" s="7" t="s">
        <v>82</v>
      </c>
      <c r="J12" s="7" t="s">
        <v>267</v>
      </c>
      <c r="K12" s="7"/>
      <c r="L12" s="7" t="s">
        <v>328</v>
      </c>
    </row>
    <row r="13" spans="1:12">
      <c r="A13" s="7" t="s">
        <v>1221</v>
      </c>
      <c r="B13" s="7" t="s">
        <v>185</v>
      </c>
      <c r="C13" s="7" t="s">
        <v>217</v>
      </c>
      <c r="D13" s="7" t="s">
        <v>1222</v>
      </c>
      <c r="E13" s="7" t="s">
        <v>1223</v>
      </c>
      <c r="F13" s="7" t="s">
        <v>701</v>
      </c>
      <c r="G13" s="7" t="s">
        <v>714</v>
      </c>
      <c r="H13" s="7" t="s">
        <v>1224</v>
      </c>
      <c r="I13" s="7" t="s">
        <v>82</v>
      </c>
      <c r="J13" s="7" t="s">
        <v>267</v>
      </c>
      <c r="K13" s="7"/>
      <c r="L13" s="7" t="s">
        <v>328</v>
      </c>
    </row>
    <row r="14" spans="1:12">
      <c r="A14" s="7" t="s">
        <v>1225</v>
      </c>
      <c r="B14" s="7" t="s">
        <v>185</v>
      </c>
      <c r="C14" s="7" t="s">
        <v>217</v>
      </c>
      <c r="D14" s="7" t="s">
        <v>1226</v>
      </c>
      <c r="E14" s="7" t="s">
        <v>1227</v>
      </c>
      <c r="F14" s="7" t="s">
        <v>1228</v>
      </c>
      <c r="G14" s="7" t="s">
        <v>1229</v>
      </c>
      <c r="H14" s="7" t="s">
        <v>1230</v>
      </c>
      <c r="I14" s="7" t="s">
        <v>82</v>
      </c>
      <c r="J14" s="7" t="s">
        <v>267</v>
      </c>
      <c r="K14" s="7"/>
      <c r="L14" s="7" t="s">
        <v>328</v>
      </c>
    </row>
    <row r="15" spans="1:12">
      <c r="A15" s="7" t="s">
        <v>1231</v>
      </c>
      <c r="B15" s="7" t="s">
        <v>185</v>
      </c>
      <c r="C15" s="7" t="s">
        <v>217</v>
      </c>
      <c r="D15" s="7" t="s">
        <v>1232</v>
      </c>
      <c r="E15" s="7" t="s">
        <v>1233</v>
      </c>
      <c r="F15" s="7" t="s">
        <v>1234</v>
      </c>
      <c r="G15" s="7" t="s">
        <v>1235</v>
      </c>
      <c r="H15" s="7" t="s">
        <v>931</v>
      </c>
      <c r="I15" s="7" t="s">
        <v>82</v>
      </c>
      <c r="J15" s="7" t="s">
        <v>267</v>
      </c>
      <c r="K15" s="7"/>
      <c r="L15" s="7" t="s">
        <v>328</v>
      </c>
    </row>
    <row r="16" spans="1:12" ht="28.5" customHeight="1">
      <c r="A16" s="7" t="s">
        <v>1236</v>
      </c>
      <c r="B16" s="7" t="s">
        <v>185</v>
      </c>
      <c r="C16" s="7" t="s">
        <v>217</v>
      </c>
      <c r="D16" s="7" t="s">
        <v>1237</v>
      </c>
      <c r="E16" s="7" t="s">
        <v>1238</v>
      </c>
      <c r="F16" s="7" t="s">
        <v>413</v>
      </c>
      <c r="G16" s="7" t="s">
        <v>1239</v>
      </c>
      <c r="H16" s="7" t="s">
        <v>1240</v>
      </c>
      <c r="I16" s="7" t="s">
        <v>82</v>
      </c>
      <c r="J16" s="7" t="s">
        <v>267</v>
      </c>
      <c r="K16" s="7"/>
      <c r="L16" s="7" t="s">
        <v>328</v>
      </c>
    </row>
    <row r="17" spans="1:12" ht="42.75" customHeight="1">
      <c r="A17" s="7" t="s">
        <v>1241</v>
      </c>
      <c r="B17" s="7" t="s">
        <v>188</v>
      </c>
      <c r="C17" s="7" t="s">
        <v>217</v>
      </c>
      <c r="D17" s="7" t="s">
        <v>1242</v>
      </c>
      <c r="E17" s="7" t="s">
        <v>1243</v>
      </c>
      <c r="F17" s="7" t="s">
        <v>1244</v>
      </c>
      <c r="G17" s="7" t="s">
        <v>1245</v>
      </c>
      <c r="H17" s="7" t="s">
        <v>1246</v>
      </c>
      <c r="I17" s="7" t="s">
        <v>403</v>
      </c>
      <c r="J17" s="7" t="s">
        <v>267</v>
      </c>
      <c r="K17" s="7"/>
      <c r="L17" s="7" t="s">
        <v>404</v>
      </c>
    </row>
    <row r="18" spans="1:12" ht="42.75" customHeight="1">
      <c r="A18" s="7" t="s">
        <v>1247</v>
      </c>
      <c r="B18" s="7" t="s">
        <v>188</v>
      </c>
      <c r="C18" s="7" t="s">
        <v>217</v>
      </c>
      <c r="D18" s="7" t="s">
        <v>1248</v>
      </c>
      <c r="E18" s="7" t="s">
        <v>1243</v>
      </c>
      <c r="F18" s="7" t="s">
        <v>1249</v>
      </c>
      <c r="G18" s="7" t="s">
        <v>1245</v>
      </c>
      <c r="H18" s="7" t="s">
        <v>1250</v>
      </c>
      <c r="I18" s="7" t="s">
        <v>403</v>
      </c>
      <c r="J18" s="7" t="s">
        <v>267</v>
      </c>
      <c r="K18" s="7"/>
      <c r="L18" s="7" t="s">
        <v>404</v>
      </c>
    </row>
    <row r="21" spans="1:12" ht="15.75" customHeight="1"/>
    <row r="22" spans="1:12" ht="15.75" customHeight="1"/>
    <row r="23" spans="1:12" ht="15.75" customHeight="1"/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L2"/>
    <mergeCell ref="A1:L1"/>
  </mergeCells>
  <conditionalFormatting sqref="B4:B18">
    <cfRule type="expression" dxfId="9" priority="1">
      <formula>B4="Unit"</formula>
    </cfRule>
    <cfRule type="expression" dxfId="8" priority="2">
      <formula>B4="Integration"</formula>
    </cfRule>
    <cfRule type="expression" dxfId="7" priority="3">
      <formula>B4="System"</formula>
    </cfRule>
    <cfRule type="expression" dxfId="6" priority="4">
      <formula>B4="UAT"</formula>
    </cfRule>
  </conditionalFormatting>
  <dataValidations count="4">
    <dataValidation type="list" allowBlank="1" sqref="B4:B18" xr:uid="{00000000-0002-0000-0F00-000000000000}">
      <formula1>"Unit,Integration,System,UAT"</formula1>
    </dataValidation>
    <dataValidation type="list" allowBlank="1" sqref="I4:I18" xr:uid="{00000000-0002-0000-0F00-000001000000}">
      <formula1>"N/A,standard_user,locked_out_user,problem_user,performance_glitch_user,error_user,visual_user,Multiple Relevant Users,All Applicable Users,Representative User"</formula1>
    </dataValidation>
    <dataValidation type="list" allowBlank="1" sqref="L4:L18" xr:uid="{00000000-0002-0000-0F00-000002000000}">
      <formula1>"No,Yes,Candidate"</formula1>
    </dataValidation>
    <dataValidation type="list" allowBlank="1" sqref="J4:J18" xr:uid="{00000000-0002-0000-0F00-000003000000}">
      <formula1>"N/A,Primary Browser,All Supported Browsers,Representative Cross-Browser,Browser-Specific"</formula1>
    </dataValidation>
  </dataValidation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5"/>
  <sheetViews>
    <sheetView tabSelected="1" topLeftCell="A25" workbookViewId="0">
      <selection activeCell="I44" sqref="I44"/>
    </sheetView>
  </sheetViews>
  <sheetFormatPr defaultColWidth="12.625" defaultRowHeight="15" customHeight="1"/>
  <cols>
    <col min="1" max="2" width="14" customWidth="1"/>
    <col min="3" max="4" width="24" customWidth="1"/>
    <col min="5" max="5" width="16" customWidth="1"/>
    <col min="6" max="6" width="50" customWidth="1"/>
    <col min="7" max="7" width="16" customWidth="1"/>
    <col min="8" max="8" width="18" customWidth="1"/>
    <col min="9" max="9" width="20" customWidth="1"/>
    <col min="10" max="10" width="18" customWidth="1"/>
    <col min="11" max="11" width="255.625" bestFit="1" customWidth="1"/>
    <col min="12" max="26" width="8.625" customWidth="1"/>
  </cols>
  <sheetData>
    <row r="1" spans="1:11" ht="19.5" customHeight="1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4.25" customHeight="1"/>
    <row r="4" spans="1:1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</row>
    <row r="5" spans="1:11" ht="14.25" customHeight="1">
      <c r="A5" s="7" t="str">
        <f t="shared" ref="A5:A68" si="0">IF(B5="","","EXE-"&amp;TEXT(ROW()-4,"0000"))</f>
        <v>EXE-0001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7"/>
      <c r="I5" s="7" t="s">
        <v>1384</v>
      </c>
      <c r="J5" s="7" t="s">
        <v>19</v>
      </c>
      <c r="K5" s="7" t="s">
        <v>20</v>
      </c>
    </row>
    <row r="6" spans="1:11" ht="14.25" customHeight="1">
      <c r="A6" s="7" t="str">
        <f t="shared" si="0"/>
        <v>EXE-0002</v>
      </c>
      <c r="B6" s="7" t="s">
        <v>21</v>
      </c>
      <c r="C6" s="7" t="s">
        <v>14</v>
      </c>
      <c r="D6" s="7" t="s">
        <v>15</v>
      </c>
      <c r="E6" s="7" t="s">
        <v>16</v>
      </c>
      <c r="F6" s="7" t="s">
        <v>22</v>
      </c>
      <c r="G6" s="7" t="s">
        <v>18</v>
      </c>
      <c r="H6" s="7"/>
      <c r="I6" s="7" t="s">
        <v>1384</v>
      </c>
      <c r="J6" s="7" t="s">
        <v>23</v>
      </c>
      <c r="K6" s="7" t="s">
        <v>20</v>
      </c>
    </row>
    <row r="7" spans="1:11" ht="14.25" customHeight="1">
      <c r="A7" s="7" t="str">
        <f t="shared" si="0"/>
        <v>EXE-0003</v>
      </c>
      <c r="B7" s="7" t="s">
        <v>24</v>
      </c>
      <c r="C7" s="7" t="s">
        <v>14</v>
      </c>
      <c r="D7" s="7" t="s">
        <v>15</v>
      </c>
      <c r="E7" s="7" t="s">
        <v>16</v>
      </c>
      <c r="F7" s="7" t="s">
        <v>25</v>
      </c>
      <c r="G7" s="7" t="s">
        <v>18</v>
      </c>
      <c r="H7" s="7"/>
      <c r="I7" s="7" t="s">
        <v>1384</v>
      </c>
      <c r="J7" s="7" t="s">
        <v>26</v>
      </c>
      <c r="K7" s="7" t="s">
        <v>20</v>
      </c>
    </row>
    <row r="8" spans="1:11" ht="14.25" customHeight="1">
      <c r="A8" s="7" t="str">
        <f t="shared" si="0"/>
        <v>EXE-0004</v>
      </c>
      <c r="B8" s="7" t="s">
        <v>27</v>
      </c>
      <c r="C8" s="7" t="s">
        <v>14</v>
      </c>
      <c r="D8" s="7" t="s">
        <v>15</v>
      </c>
      <c r="E8" s="7" t="s">
        <v>16</v>
      </c>
      <c r="F8" s="7" t="s">
        <v>28</v>
      </c>
      <c r="G8" s="7" t="s">
        <v>18</v>
      </c>
      <c r="H8" s="7"/>
      <c r="I8" s="7" t="s">
        <v>1384</v>
      </c>
      <c r="J8" s="7" t="s">
        <v>29</v>
      </c>
      <c r="K8" s="7" t="s">
        <v>20</v>
      </c>
    </row>
    <row r="9" spans="1:11" ht="14.25" customHeight="1">
      <c r="A9" s="7" t="str">
        <f t="shared" si="0"/>
        <v>EXE-0005</v>
      </c>
      <c r="B9" s="7" t="s">
        <v>30</v>
      </c>
      <c r="C9" s="7" t="s">
        <v>14</v>
      </c>
      <c r="D9" s="7" t="s">
        <v>15</v>
      </c>
      <c r="E9" s="7" t="s">
        <v>16</v>
      </c>
      <c r="F9" s="7" t="s">
        <v>31</v>
      </c>
      <c r="G9" s="7" t="s">
        <v>18</v>
      </c>
      <c r="H9" s="7"/>
      <c r="I9" s="7" t="s">
        <v>1384</v>
      </c>
      <c r="J9" s="7" t="s">
        <v>32</v>
      </c>
      <c r="K9" s="7" t="s">
        <v>20</v>
      </c>
    </row>
    <row r="10" spans="1:11" ht="14.25" customHeight="1">
      <c r="A10" s="7" t="str">
        <f t="shared" si="0"/>
        <v>EXE-0006</v>
      </c>
      <c r="B10" s="7" t="s">
        <v>33</v>
      </c>
      <c r="C10" s="7" t="s">
        <v>14</v>
      </c>
      <c r="D10" s="7" t="s">
        <v>15</v>
      </c>
      <c r="E10" s="7" t="s">
        <v>16</v>
      </c>
      <c r="F10" s="7" t="s">
        <v>34</v>
      </c>
      <c r="G10" s="7" t="s">
        <v>18</v>
      </c>
      <c r="H10" s="7"/>
      <c r="I10" s="7" t="s">
        <v>1384</v>
      </c>
      <c r="J10" s="7" t="s">
        <v>35</v>
      </c>
      <c r="K10" s="7" t="s">
        <v>20</v>
      </c>
    </row>
    <row r="11" spans="1:11" ht="14.25" customHeight="1">
      <c r="A11" s="7" t="str">
        <f t="shared" si="0"/>
        <v>EXE-0007</v>
      </c>
      <c r="B11" s="7" t="s">
        <v>36</v>
      </c>
      <c r="C11" s="7" t="s">
        <v>14</v>
      </c>
      <c r="D11" s="7" t="s">
        <v>15</v>
      </c>
      <c r="E11" s="7" t="s">
        <v>16</v>
      </c>
      <c r="F11" s="7" t="s">
        <v>37</v>
      </c>
      <c r="G11" s="7" t="s">
        <v>18</v>
      </c>
      <c r="H11" s="7"/>
      <c r="I11" s="7" t="s">
        <v>1384</v>
      </c>
      <c r="J11" s="7" t="s">
        <v>38</v>
      </c>
      <c r="K11" s="7" t="s">
        <v>20</v>
      </c>
    </row>
    <row r="12" spans="1:11" ht="14.25" customHeight="1">
      <c r="A12" s="7" t="str">
        <f t="shared" si="0"/>
        <v>EXE-0008</v>
      </c>
      <c r="B12" s="7" t="s">
        <v>39</v>
      </c>
      <c r="C12" s="7" t="s">
        <v>14</v>
      </c>
      <c r="D12" s="7" t="s">
        <v>15</v>
      </c>
      <c r="E12" s="7" t="s">
        <v>16</v>
      </c>
      <c r="F12" s="7" t="s">
        <v>40</v>
      </c>
      <c r="G12" s="7" t="s">
        <v>18</v>
      </c>
      <c r="H12" s="7"/>
      <c r="I12" s="7" t="s">
        <v>1384</v>
      </c>
      <c r="J12" s="7" t="s">
        <v>41</v>
      </c>
      <c r="K12" s="7" t="s">
        <v>20</v>
      </c>
    </row>
    <row r="13" spans="1:11" ht="14.25" customHeight="1">
      <c r="A13" s="7" t="str">
        <f t="shared" si="0"/>
        <v>EXE-0009</v>
      </c>
      <c r="B13" s="7" t="s">
        <v>42</v>
      </c>
      <c r="C13" s="7" t="s">
        <v>14</v>
      </c>
      <c r="D13" s="7" t="s">
        <v>15</v>
      </c>
      <c r="E13" s="7" t="s">
        <v>16</v>
      </c>
      <c r="F13" s="7" t="s">
        <v>43</v>
      </c>
      <c r="G13" s="7" t="s">
        <v>18</v>
      </c>
      <c r="H13" s="7"/>
      <c r="I13" s="7" t="s">
        <v>1384</v>
      </c>
      <c r="J13" s="7" t="s">
        <v>44</v>
      </c>
      <c r="K13" s="7" t="s">
        <v>20</v>
      </c>
    </row>
    <row r="14" spans="1:11" ht="14.25" customHeight="1">
      <c r="A14" s="7" t="str">
        <f t="shared" si="0"/>
        <v>EXE-0010</v>
      </c>
      <c r="B14" s="7" t="s">
        <v>45</v>
      </c>
      <c r="C14" s="7" t="s">
        <v>14</v>
      </c>
      <c r="D14" s="7" t="s">
        <v>15</v>
      </c>
      <c r="E14" s="7" t="s">
        <v>16</v>
      </c>
      <c r="F14" s="7" t="s">
        <v>46</v>
      </c>
      <c r="G14" s="7" t="s">
        <v>18</v>
      </c>
      <c r="H14" s="7"/>
      <c r="I14" s="7" t="s">
        <v>1384</v>
      </c>
      <c r="J14" s="7" t="s">
        <v>47</v>
      </c>
      <c r="K14" s="7" t="s">
        <v>20</v>
      </c>
    </row>
    <row r="15" spans="1:11" ht="14.25" customHeight="1">
      <c r="A15" s="7" t="str">
        <f t="shared" si="0"/>
        <v>EXE-0011</v>
      </c>
      <c r="B15" s="7" t="s">
        <v>48</v>
      </c>
      <c r="C15" s="7" t="s">
        <v>14</v>
      </c>
      <c r="D15" s="7" t="s">
        <v>15</v>
      </c>
      <c r="E15" s="7" t="s">
        <v>16</v>
      </c>
      <c r="F15" s="7" t="s">
        <v>49</v>
      </c>
      <c r="G15" s="7" t="s">
        <v>18</v>
      </c>
      <c r="H15" s="7"/>
      <c r="I15" s="7" t="s">
        <v>1384</v>
      </c>
      <c r="J15" s="7" t="s">
        <v>50</v>
      </c>
      <c r="K15" s="7" t="s">
        <v>20</v>
      </c>
    </row>
    <row r="16" spans="1:11" ht="14.25" customHeight="1">
      <c r="A16" s="7" t="str">
        <f t="shared" si="0"/>
        <v>EXE-0012</v>
      </c>
      <c r="B16" s="7" t="s">
        <v>51</v>
      </c>
      <c r="C16" s="7" t="s">
        <v>14</v>
      </c>
      <c r="D16" s="7" t="s">
        <v>15</v>
      </c>
      <c r="E16" s="7" t="s">
        <v>16</v>
      </c>
      <c r="F16" s="7" t="s">
        <v>52</v>
      </c>
      <c r="G16" s="7" t="s">
        <v>18</v>
      </c>
      <c r="H16" s="7"/>
      <c r="I16" s="7" t="s">
        <v>1384</v>
      </c>
      <c r="J16" s="7" t="s">
        <v>53</v>
      </c>
      <c r="K16" s="7" t="s">
        <v>20</v>
      </c>
    </row>
    <row r="17" spans="1:11" ht="14.25" customHeight="1">
      <c r="A17" s="7" t="str">
        <f t="shared" si="0"/>
        <v>EXE-0013</v>
      </c>
      <c r="B17" s="7" t="s">
        <v>54</v>
      </c>
      <c r="C17" s="7" t="s">
        <v>14</v>
      </c>
      <c r="D17" s="7" t="s">
        <v>15</v>
      </c>
      <c r="E17" s="7" t="s">
        <v>16</v>
      </c>
      <c r="F17" s="7" t="s">
        <v>55</v>
      </c>
      <c r="G17" s="7" t="s">
        <v>18</v>
      </c>
      <c r="H17" s="7"/>
      <c r="I17" s="7" t="s">
        <v>1384</v>
      </c>
      <c r="J17" s="7" t="s">
        <v>56</v>
      </c>
      <c r="K17" s="7" t="s">
        <v>20</v>
      </c>
    </row>
    <row r="18" spans="1:11" ht="14.25" customHeight="1">
      <c r="A18" s="7" t="str">
        <f t="shared" si="0"/>
        <v>EXE-0014</v>
      </c>
      <c r="B18" s="7" t="s">
        <v>57</v>
      </c>
      <c r="C18" s="7" t="s">
        <v>14</v>
      </c>
      <c r="D18" s="7" t="s">
        <v>15</v>
      </c>
      <c r="E18" s="7" t="s">
        <v>16</v>
      </c>
      <c r="F18" s="7" t="s">
        <v>58</v>
      </c>
      <c r="G18" s="7" t="s">
        <v>18</v>
      </c>
      <c r="H18" s="7"/>
      <c r="I18" s="7" t="s">
        <v>1384</v>
      </c>
      <c r="J18" s="7" t="s">
        <v>59</v>
      </c>
      <c r="K18" s="7" t="s">
        <v>20</v>
      </c>
    </row>
    <row r="19" spans="1:11" ht="14.25" customHeight="1">
      <c r="A19" s="7" t="str">
        <f t="shared" si="0"/>
        <v>EXE-0015</v>
      </c>
      <c r="B19" s="7" t="s">
        <v>60</v>
      </c>
      <c r="C19" s="7" t="s">
        <v>14</v>
      </c>
      <c r="D19" s="7" t="s">
        <v>15</v>
      </c>
      <c r="E19" s="7" t="s">
        <v>16</v>
      </c>
      <c r="F19" s="7" t="s">
        <v>61</v>
      </c>
      <c r="G19" s="7" t="s">
        <v>18</v>
      </c>
      <c r="H19" s="7"/>
      <c r="I19" s="7" t="s">
        <v>1384</v>
      </c>
      <c r="J19" s="7" t="s">
        <v>62</v>
      </c>
      <c r="K19" s="7" t="s">
        <v>20</v>
      </c>
    </row>
    <row r="20" spans="1:11" ht="14.25" customHeight="1">
      <c r="A20" s="7" t="str">
        <f t="shared" si="0"/>
        <v>EXE-0016</v>
      </c>
      <c r="B20" s="7" t="s">
        <v>63</v>
      </c>
      <c r="C20" s="7" t="s">
        <v>14</v>
      </c>
      <c r="D20" s="7" t="s">
        <v>15</v>
      </c>
      <c r="E20" s="7" t="s">
        <v>16</v>
      </c>
      <c r="F20" s="7" t="s">
        <v>64</v>
      </c>
      <c r="G20" s="7" t="s">
        <v>18</v>
      </c>
      <c r="H20" s="7"/>
      <c r="I20" s="7" t="s">
        <v>1384</v>
      </c>
      <c r="J20" s="7" t="s">
        <v>65</v>
      </c>
      <c r="K20" s="7" t="s">
        <v>20</v>
      </c>
    </row>
    <row r="21" spans="1:11" ht="15.75" customHeight="1">
      <c r="A21" s="7" t="str">
        <f t="shared" si="0"/>
        <v>EXE-0017</v>
      </c>
      <c r="B21" s="7" t="s">
        <v>66</v>
      </c>
      <c r="C21" s="7" t="s">
        <v>14</v>
      </c>
      <c r="D21" s="7" t="s">
        <v>15</v>
      </c>
      <c r="E21" s="7" t="s">
        <v>16</v>
      </c>
      <c r="F21" s="7" t="s">
        <v>67</v>
      </c>
      <c r="G21" s="7" t="s">
        <v>18</v>
      </c>
      <c r="H21" s="7"/>
      <c r="I21" s="7" t="s">
        <v>1384</v>
      </c>
      <c r="J21" s="7" t="s">
        <v>68</v>
      </c>
      <c r="K21" s="7" t="s">
        <v>20</v>
      </c>
    </row>
    <row r="22" spans="1:11" ht="15.75" customHeight="1">
      <c r="A22" s="7" t="str">
        <f t="shared" si="0"/>
        <v>EXE-0018</v>
      </c>
      <c r="B22" s="7" t="s">
        <v>69</v>
      </c>
      <c r="C22" s="7" t="s">
        <v>14</v>
      </c>
      <c r="D22" s="7" t="s">
        <v>15</v>
      </c>
      <c r="E22" s="7" t="s">
        <v>16</v>
      </c>
      <c r="F22" s="7" t="s">
        <v>70</v>
      </c>
      <c r="G22" s="7" t="s">
        <v>18</v>
      </c>
      <c r="H22" s="7"/>
      <c r="I22" s="7" t="s">
        <v>1384</v>
      </c>
      <c r="J22" s="7" t="s">
        <v>71</v>
      </c>
      <c r="K22" s="7" t="s">
        <v>20</v>
      </c>
    </row>
    <row r="23" spans="1:11" ht="15.75" customHeight="1">
      <c r="A23" s="7" t="str">
        <f t="shared" si="0"/>
        <v>EXE-0019</v>
      </c>
      <c r="B23" s="7" t="s">
        <v>72</v>
      </c>
      <c r="C23" s="7" t="s">
        <v>14</v>
      </c>
      <c r="D23" s="7" t="s">
        <v>15</v>
      </c>
      <c r="E23" s="7" t="s">
        <v>16</v>
      </c>
      <c r="F23" s="7" t="s">
        <v>73</v>
      </c>
      <c r="G23" s="7" t="s">
        <v>18</v>
      </c>
      <c r="H23" s="7"/>
      <c r="I23" s="7" t="s">
        <v>1384</v>
      </c>
      <c r="J23" s="7" t="s">
        <v>74</v>
      </c>
      <c r="K23" s="7" t="s">
        <v>20</v>
      </c>
    </row>
    <row r="24" spans="1:11" ht="15.75" customHeight="1">
      <c r="A24" s="7" t="str">
        <f t="shared" si="0"/>
        <v>EXE-0020</v>
      </c>
      <c r="B24" s="7" t="s">
        <v>75</v>
      </c>
      <c r="C24" s="7" t="s">
        <v>14</v>
      </c>
      <c r="D24" s="7" t="s">
        <v>15</v>
      </c>
      <c r="E24" s="7" t="s">
        <v>16</v>
      </c>
      <c r="F24" s="7" t="s">
        <v>76</v>
      </c>
      <c r="G24" s="7" t="s">
        <v>18</v>
      </c>
      <c r="H24" s="7"/>
      <c r="I24" s="7" t="s">
        <v>1384</v>
      </c>
      <c r="J24" s="7" t="s">
        <v>77</v>
      </c>
      <c r="K24" s="7" t="s">
        <v>20</v>
      </c>
    </row>
    <row r="25" spans="1:11" ht="15.75" customHeight="1">
      <c r="A25" s="7" t="str">
        <f t="shared" si="0"/>
        <v>EXE-0021</v>
      </c>
      <c r="B25" s="7" t="s">
        <v>78</v>
      </c>
      <c r="C25" s="7" t="s">
        <v>14</v>
      </c>
      <c r="D25" s="7" t="s">
        <v>15</v>
      </c>
      <c r="E25" s="7" t="s">
        <v>16</v>
      </c>
      <c r="F25" s="7" t="s">
        <v>79</v>
      </c>
      <c r="G25" s="7" t="s">
        <v>18</v>
      </c>
      <c r="H25" s="7"/>
      <c r="I25" s="7" t="s">
        <v>1384</v>
      </c>
      <c r="J25" s="7" t="s">
        <v>80</v>
      </c>
      <c r="K25" s="7" t="s">
        <v>20</v>
      </c>
    </row>
    <row r="26" spans="1:11" ht="15.75" customHeight="1">
      <c r="A26" s="7" t="str">
        <f t="shared" si="0"/>
        <v>EXE-0022</v>
      </c>
      <c r="B26" s="7" t="s">
        <v>81</v>
      </c>
      <c r="C26" s="7" t="s">
        <v>14</v>
      </c>
      <c r="D26" s="7" t="s">
        <v>82</v>
      </c>
      <c r="E26" s="7" t="s">
        <v>16</v>
      </c>
      <c r="F26" s="7" t="s">
        <v>83</v>
      </c>
      <c r="G26" s="7" t="s">
        <v>18</v>
      </c>
      <c r="H26" s="7"/>
      <c r="I26" s="7" t="s">
        <v>1384</v>
      </c>
      <c r="J26" s="7" t="s">
        <v>84</v>
      </c>
      <c r="K26" s="7" t="s">
        <v>20</v>
      </c>
    </row>
    <row r="27" spans="1:11" ht="15.75" customHeight="1">
      <c r="A27" s="7" t="str">
        <f t="shared" si="0"/>
        <v>EXE-0023</v>
      </c>
      <c r="B27" s="7" t="s">
        <v>85</v>
      </c>
      <c r="C27" s="7" t="s">
        <v>14</v>
      </c>
      <c r="D27" s="7" t="s">
        <v>82</v>
      </c>
      <c r="E27" s="7" t="s">
        <v>16</v>
      </c>
      <c r="F27" s="7" t="s">
        <v>86</v>
      </c>
      <c r="G27" s="7" t="s">
        <v>18</v>
      </c>
      <c r="H27" s="7"/>
      <c r="I27" s="7" t="s">
        <v>1384</v>
      </c>
      <c r="J27" s="7" t="s">
        <v>87</v>
      </c>
      <c r="K27" s="7" t="s">
        <v>20</v>
      </c>
    </row>
    <row r="28" spans="1:11" ht="15.75" customHeight="1">
      <c r="A28" s="7" t="str">
        <f t="shared" si="0"/>
        <v>EXE-0024</v>
      </c>
      <c r="B28" s="7" t="s">
        <v>88</v>
      </c>
      <c r="C28" s="7" t="s">
        <v>14</v>
      </c>
      <c r="D28" s="7" t="s">
        <v>82</v>
      </c>
      <c r="E28" s="7" t="s">
        <v>16</v>
      </c>
      <c r="F28" s="7" t="s">
        <v>89</v>
      </c>
      <c r="G28" s="7" t="s">
        <v>18</v>
      </c>
      <c r="H28" s="7"/>
      <c r="I28" s="7" t="s">
        <v>1384</v>
      </c>
      <c r="J28" s="7" t="s">
        <v>90</v>
      </c>
      <c r="K28" s="7" t="s">
        <v>20</v>
      </c>
    </row>
    <row r="29" spans="1:11" ht="15.75" customHeight="1">
      <c r="A29" s="7" t="str">
        <f t="shared" si="0"/>
        <v>EXE-0025</v>
      </c>
      <c r="B29" s="7" t="s">
        <v>91</v>
      </c>
      <c r="C29" s="7" t="s">
        <v>14</v>
      </c>
      <c r="D29" s="7" t="s">
        <v>82</v>
      </c>
      <c r="E29" s="7" t="s">
        <v>16</v>
      </c>
      <c r="F29" s="7" t="s">
        <v>92</v>
      </c>
      <c r="G29" s="7" t="s">
        <v>18</v>
      </c>
      <c r="H29" s="7"/>
      <c r="I29" s="7" t="s">
        <v>1384</v>
      </c>
      <c r="J29" s="7" t="s">
        <v>93</v>
      </c>
      <c r="K29" s="7" t="s">
        <v>20</v>
      </c>
    </row>
    <row r="30" spans="1:11" ht="15.75" customHeight="1">
      <c r="A30" s="7" t="str">
        <f t="shared" si="0"/>
        <v>EXE-0026</v>
      </c>
      <c r="B30" s="7" t="s">
        <v>94</v>
      </c>
      <c r="C30" s="7" t="s">
        <v>14</v>
      </c>
      <c r="D30" s="7" t="s">
        <v>82</v>
      </c>
      <c r="E30" s="7" t="s">
        <v>16</v>
      </c>
      <c r="F30" s="7" t="s">
        <v>95</v>
      </c>
      <c r="G30" s="7" t="s">
        <v>18</v>
      </c>
      <c r="H30" s="7"/>
      <c r="I30" s="7" t="s">
        <v>1384</v>
      </c>
      <c r="J30" s="7" t="s">
        <v>96</v>
      </c>
      <c r="K30" s="7" t="s">
        <v>20</v>
      </c>
    </row>
    <row r="31" spans="1:11" ht="15.75" customHeight="1">
      <c r="A31" s="7" t="str">
        <f t="shared" si="0"/>
        <v>EXE-0027</v>
      </c>
      <c r="B31" s="7" t="s">
        <v>97</v>
      </c>
      <c r="C31" s="7" t="s">
        <v>14</v>
      </c>
      <c r="D31" s="7" t="s">
        <v>98</v>
      </c>
      <c r="E31" s="7" t="s">
        <v>16</v>
      </c>
      <c r="F31" s="7" t="s">
        <v>99</v>
      </c>
      <c r="G31" s="7" t="s">
        <v>18</v>
      </c>
      <c r="H31" s="7"/>
      <c r="I31" s="7" t="s">
        <v>1384</v>
      </c>
      <c r="J31" s="7" t="s">
        <v>100</v>
      </c>
      <c r="K31" s="7" t="s">
        <v>20</v>
      </c>
    </row>
    <row r="32" spans="1:11" ht="15.75" customHeight="1">
      <c r="A32" s="7" t="str">
        <f t="shared" si="0"/>
        <v>EXE-0028</v>
      </c>
      <c r="B32" s="7" t="s">
        <v>101</v>
      </c>
      <c r="C32" s="7" t="s">
        <v>14</v>
      </c>
      <c r="D32" s="7" t="s">
        <v>102</v>
      </c>
      <c r="E32" s="7" t="s">
        <v>16</v>
      </c>
      <c r="F32" s="7" t="s">
        <v>103</v>
      </c>
      <c r="G32" s="7" t="s">
        <v>18</v>
      </c>
      <c r="H32" s="7"/>
      <c r="I32" s="7" t="s">
        <v>1384</v>
      </c>
      <c r="J32" s="7" t="s">
        <v>104</v>
      </c>
      <c r="K32" s="7" t="s">
        <v>20</v>
      </c>
    </row>
    <row r="33" spans="1:11" ht="15.75" customHeight="1">
      <c r="A33" s="7" t="str">
        <f t="shared" si="0"/>
        <v>EXE-0029</v>
      </c>
      <c r="B33" s="7" t="s">
        <v>105</v>
      </c>
      <c r="C33" s="7" t="s">
        <v>14</v>
      </c>
      <c r="D33" s="7" t="s">
        <v>106</v>
      </c>
      <c r="E33" s="7" t="s">
        <v>16</v>
      </c>
      <c r="F33" s="7" t="s">
        <v>107</v>
      </c>
      <c r="G33" s="7" t="s">
        <v>18</v>
      </c>
      <c r="H33" s="7"/>
      <c r="I33" s="7" t="s">
        <v>1384</v>
      </c>
      <c r="J33" s="7" t="s">
        <v>108</v>
      </c>
      <c r="K33" s="7" t="s">
        <v>20</v>
      </c>
    </row>
    <row r="34" spans="1:11" ht="15.75" customHeight="1">
      <c r="A34" s="7" t="str">
        <f t="shared" si="0"/>
        <v>EXE-0030</v>
      </c>
      <c r="B34" s="7" t="s">
        <v>109</v>
      </c>
      <c r="C34" s="7" t="s">
        <v>14</v>
      </c>
      <c r="D34" s="7" t="s">
        <v>110</v>
      </c>
      <c r="E34" s="7" t="s">
        <v>16</v>
      </c>
      <c r="F34" s="7" t="s">
        <v>111</v>
      </c>
      <c r="G34" s="7" t="s">
        <v>18</v>
      </c>
      <c r="H34" s="7"/>
      <c r="I34" s="7" t="s">
        <v>1384</v>
      </c>
      <c r="J34" s="7" t="s">
        <v>112</v>
      </c>
      <c r="K34" s="7" t="s">
        <v>20</v>
      </c>
    </row>
    <row r="35" spans="1:11" ht="15.75" customHeight="1">
      <c r="A35" s="7" t="str">
        <f t="shared" si="0"/>
        <v>EXE-0031</v>
      </c>
      <c r="B35" s="7" t="s">
        <v>113</v>
      </c>
      <c r="C35" s="7" t="s">
        <v>14</v>
      </c>
      <c r="D35" s="7" t="s">
        <v>114</v>
      </c>
      <c r="E35" s="7" t="s">
        <v>16</v>
      </c>
      <c r="F35" s="7" t="s">
        <v>115</v>
      </c>
      <c r="G35" s="7" t="s">
        <v>18</v>
      </c>
      <c r="H35" s="7"/>
      <c r="I35" s="7" t="s">
        <v>1384</v>
      </c>
      <c r="J35" s="7" t="s">
        <v>116</v>
      </c>
      <c r="K35" s="7" t="s">
        <v>20</v>
      </c>
    </row>
    <row r="36" spans="1:11" ht="15.75" customHeight="1">
      <c r="A36" s="7" t="str">
        <f t="shared" si="0"/>
        <v>EXE-0032</v>
      </c>
      <c r="B36" s="7" t="s">
        <v>117</v>
      </c>
      <c r="C36" s="7" t="s">
        <v>14</v>
      </c>
      <c r="D36" s="7" t="s">
        <v>82</v>
      </c>
      <c r="E36" s="7" t="s">
        <v>16</v>
      </c>
      <c r="F36" s="7" t="s">
        <v>118</v>
      </c>
      <c r="G36" s="7" t="s">
        <v>119</v>
      </c>
      <c r="H36" s="7"/>
      <c r="I36" s="7" t="s">
        <v>1384</v>
      </c>
      <c r="J36" s="7" t="s">
        <v>120</v>
      </c>
      <c r="K36" s="7" t="s">
        <v>121</v>
      </c>
    </row>
    <row r="37" spans="1:11" ht="15.75" customHeight="1">
      <c r="A37" s="7" t="str">
        <f t="shared" si="0"/>
        <v>EXE-0033</v>
      </c>
      <c r="B37" s="7" t="s">
        <v>122</v>
      </c>
      <c r="C37" s="7" t="s">
        <v>14</v>
      </c>
      <c r="D37" s="7" t="s">
        <v>82</v>
      </c>
      <c r="E37" s="7" t="s">
        <v>16</v>
      </c>
      <c r="F37" s="7" t="s">
        <v>123</v>
      </c>
      <c r="G37" s="7" t="s">
        <v>124</v>
      </c>
      <c r="H37" s="7"/>
      <c r="I37" s="7" t="s">
        <v>1384</v>
      </c>
      <c r="J37" s="7" t="s">
        <v>125</v>
      </c>
      <c r="K37" s="7" t="s">
        <v>126</v>
      </c>
    </row>
    <row r="38" spans="1:11" ht="15.75" customHeight="1">
      <c r="A38" s="7" t="str">
        <f t="shared" si="0"/>
        <v>EXE-0034</v>
      </c>
      <c r="B38" s="7" t="s">
        <v>127</v>
      </c>
      <c r="C38" s="7" t="s">
        <v>14</v>
      </c>
      <c r="D38" s="7" t="s">
        <v>82</v>
      </c>
      <c r="E38" s="7" t="s">
        <v>16</v>
      </c>
      <c r="F38" s="7" t="s">
        <v>128</v>
      </c>
      <c r="G38" s="7" t="s">
        <v>119</v>
      </c>
      <c r="H38" s="7"/>
      <c r="I38" s="7" t="s">
        <v>1384</v>
      </c>
      <c r="J38" s="7" t="s">
        <v>129</v>
      </c>
      <c r="K38" s="7" t="s">
        <v>130</v>
      </c>
    </row>
    <row r="39" spans="1:11" ht="15.75" customHeight="1">
      <c r="A39" s="7" t="str">
        <f t="shared" si="0"/>
        <v>EXE-0035</v>
      </c>
      <c r="B39" s="7" t="s">
        <v>131</v>
      </c>
      <c r="C39" s="7" t="s">
        <v>14</v>
      </c>
      <c r="D39" s="7" t="s">
        <v>82</v>
      </c>
      <c r="E39" s="7" t="s">
        <v>16</v>
      </c>
      <c r="F39" s="7" t="s">
        <v>132</v>
      </c>
      <c r="G39" s="7" t="s">
        <v>119</v>
      </c>
      <c r="H39" s="7"/>
      <c r="I39" s="7" t="s">
        <v>1384</v>
      </c>
      <c r="J39" s="7" t="s">
        <v>133</v>
      </c>
      <c r="K39" s="7" t="s">
        <v>134</v>
      </c>
    </row>
    <row r="40" spans="1:11" ht="15.75" customHeight="1">
      <c r="A40" s="7" t="str">
        <f t="shared" si="0"/>
        <v>EXE-0036</v>
      </c>
      <c r="B40" s="7" t="s">
        <v>135</v>
      </c>
      <c r="C40" s="7" t="s">
        <v>14</v>
      </c>
      <c r="D40" s="7" t="s">
        <v>15</v>
      </c>
      <c r="E40" s="7" t="s">
        <v>16</v>
      </c>
      <c r="F40" s="7" t="s">
        <v>136</v>
      </c>
      <c r="G40" s="7" t="s">
        <v>119</v>
      </c>
      <c r="H40" s="7"/>
      <c r="I40" s="7" t="s">
        <v>1384</v>
      </c>
      <c r="J40" s="7" t="s">
        <v>137</v>
      </c>
      <c r="K40" s="7" t="s">
        <v>138</v>
      </c>
    </row>
    <row r="41" spans="1:11" ht="15.75" customHeight="1">
      <c r="A41" s="7" t="str">
        <f t="shared" si="0"/>
        <v>EXE-0037</v>
      </c>
      <c r="B41" s="7" t="s">
        <v>139</v>
      </c>
      <c r="C41" s="7" t="s">
        <v>14</v>
      </c>
      <c r="D41" s="7" t="s">
        <v>15</v>
      </c>
      <c r="E41" s="7" t="s">
        <v>16</v>
      </c>
      <c r="F41" s="7" t="s">
        <v>140</v>
      </c>
      <c r="G41" s="7" t="s">
        <v>119</v>
      </c>
      <c r="H41" s="7"/>
      <c r="I41" s="7" t="s">
        <v>1384</v>
      </c>
      <c r="J41" s="7" t="s">
        <v>141</v>
      </c>
      <c r="K41" s="7" t="s">
        <v>142</v>
      </c>
    </row>
    <row r="42" spans="1:11" ht="15.75" customHeight="1">
      <c r="A42" s="7" t="str">
        <f t="shared" si="0"/>
        <v>EXE-0038</v>
      </c>
      <c r="B42" s="7" t="s">
        <v>143</v>
      </c>
      <c r="C42" s="7" t="s">
        <v>14</v>
      </c>
      <c r="D42" s="7" t="s">
        <v>15</v>
      </c>
      <c r="E42" s="7" t="s">
        <v>16</v>
      </c>
      <c r="F42" s="7" t="s">
        <v>144</v>
      </c>
      <c r="G42" s="7" t="s">
        <v>119</v>
      </c>
      <c r="H42" s="7"/>
      <c r="I42" s="7" t="s">
        <v>1384</v>
      </c>
      <c r="J42" s="7" t="s">
        <v>145</v>
      </c>
      <c r="K42" s="7" t="s">
        <v>146</v>
      </c>
    </row>
    <row r="43" spans="1:11" ht="15.75" customHeight="1">
      <c r="A43" s="7" t="str">
        <f t="shared" si="0"/>
        <v>EXE-0039</v>
      </c>
      <c r="B43" s="7" t="s">
        <v>147</v>
      </c>
      <c r="C43" s="7" t="s">
        <v>14</v>
      </c>
      <c r="D43" s="7" t="s">
        <v>15</v>
      </c>
      <c r="E43" s="7" t="s">
        <v>16</v>
      </c>
      <c r="F43" s="7" t="s">
        <v>148</v>
      </c>
      <c r="G43" s="7" t="s">
        <v>119</v>
      </c>
      <c r="H43" s="7"/>
      <c r="I43" s="7" t="s">
        <v>1384</v>
      </c>
      <c r="J43" s="7" t="s">
        <v>149</v>
      </c>
      <c r="K43" s="7" t="s">
        <v>150</v>
      </c>
    </row>
    <row r="44" spans="1:11" ht="15.75" customHeight="1">
      <c r="A44" s="7" t="str">
        <f t="shared" si="0"/>
        <v/>
      </c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ht="15.75" customHeight="1">
      <c r="A45" s="7" t="str">
        <f t="shared" si="0"/>
        <v/>
      </c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ht="15.75" customHeight="1">
      <c r="A46" s="7" t="str">
        <f t="shared" si="0"/>
        <v/>
      </c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ht="15.75" customHeight="1">
      <c r="A47" s="7" t="str">
        <f t="shared" si="0"/>
        <v/>
      </c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ht="15.75" customHeight="1">
      <c r="A48" s="7" t="str">
        <f t="shared" si="0"/>
        <v/>
      </c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ht="15.75" customHeight="1">
      <c r="A49" s="7" t="str">
        <f t="shared" si="0"/>
        <v/>
      </c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 ht="15.75" customHeight="1">
      <c r="A50" s="7" t="str">
        <f t="shared" si="0"/>
        <v/>
      </c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ht="15.75" customHeight="1">
      <c r="A51" s="7" t="str">
        <f t="shared" si="0"/>
        <v/>
      </c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ht="15.75" customHeight="1">
      <c r="A52" s="7" t="str">
        <f t="shared" si="0"/>
        <v/>
      </c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ht="15.75" customHeight="1">
      <c r="A53" s="7" t="str">
        <f t="shared" si="0"/>
        <v/>
      </c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 ht="15.75" customHeight="1">
      <c r="A54" s="7" t="str">
        <f t="shared" si="0"/>
        <v/>
      </c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 ht="15.75" customHeight="1">
      <c r="A55" s="7" t="str">
        <f t="shared" si="0"/>
        <v/>
      </c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ht="15.75" customHeight="1">
      <c r="A56" s="7" t="str">
        <f t="shared" si="0"/>
        <v/>
      </c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ht="15.75" customHeight="1">
      <c r="A57" s="7" t="str">
        <f t="shared" si="0"/>
        <v/>
      </c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ht="15.75" customHeight="1">
      <c r="A58" s="7" t="str">
        <f t="shared" si="0"/>
        <v/>
      </c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ht="15.75" customHeight="1">
      <c r="A59" s="7" t="str">
        <f t="shared" si="0"/>
        <v/>
      </c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ht="15.75" customHeight="1">
      <c r="A60" s="7" t="str">
        <f t="shared" si="0"/>
        <v/>
      </c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ht="15.75" customHeight="1">
      <c r="A61" s="7" t="str">
        <f t="shared" si="0"/>
        <v/>
      </c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ht="15.75" customHeight="1">
      <c r="A62" s="7" t="str">
        <f t="shared" si="0"/>
        <v/>
      </c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ht="15.75" customHeight="1">
      <c r="A63" s="7" t="str">
        <f t="shared" si="0"/>
        <v/>
      </c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 ht="15.75" customHeight="1">
      <c r="A64" s="7" t="str">
        <f t="shared" si="0"/>
        <v/>
      </c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ht="15.75" customHeight="1">
      <c r="A65" s="7" t="str">
        <f t="shared" si="0"/>
        <v/>
      </c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ht="15.75" customHeight="1">
      <c r="A66" s="7" t="str">
        <f t="shared" si="0"/>
        <v/>
      </c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ht="15.75" customHeight="1">
      <c r="A67" s="7" t="str">
        <f t="shared" si="0"/>
        <v/>
      </c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 ht="15.75" customHeight="1">
      <c r="A68" s="7" t="str">
        <f t="shared" si="0"/>
        <v/>
      </c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ht="15.75" customHeight="1">
      <c r="A69" s="7" t="str">
        <f t="shared" ref="A69:A132" si="1">IF(B69="","","EXE-"&amp;TEXT(ROW()-4,"0000"))</f>
        <v/>
      </c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ht="15.75" customHeight="1">
      <c r="A70" s="7" t="str">
        <f t="shared" si="1"/>
        <v/>
      </c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ht="15.75" customHeight="1">
      <c r="A71" s="7" t="str">
        <f t="shared" si="1"/>
        <v/>
      </c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ht="15.75" customHeight="1">
      <c r="A72" s="7" t="str">
        <f t="shared" si="1"/>
        <v/>
      </c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ht="15.75" customHeight="1">
      <c r="A73" s="7" t="str">
        <f t="shared" si="1"/>
        <v/>
      </c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ht="15.75" customHeight="1">
      <c r="A74" s="7" t="str">
        <f t="shared" si="1"/>
        <v/>
      </c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ht="15.75" customHeight="1">
      <c r="A75" s="7" t="str">
        <f t="shared" si="1"/>
        <v/>
      </c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ht="15.75" customHeight="1">
      <c r="A76" s="7" t="str">
        <f t="shared" si="1"/>
        <v/>
      </c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 ht="15.75" customHeight="1">
      <c r="A77" s="7" t="str">
        <f t="shared" si="1"/>
        <v/>
      </c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ht="15.75" customHeight="1">
      <c r="A78" s="7" t="str">
        <f t="shared" si="1"/>
        <v/>
      </c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ht="15.75" customHeight="1">
      <c r="A79" s="7" t="str">
        <f t="shared" si="1"/>
        <v/>
      </c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ht="15.75" customHeight="1">
      <c r="A80" s="7" t="str">
        <f t="shared" si="1"/>
        <v/>
      </c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 ht="15.75" customHeight="1">
      <c r="A81" s="7" t="str">
        <f t="shared" si="1"/>
        <v/>
      </c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ht="15.75" customHeight="1">
      <c r="A82" s="7" t="str">
        <f t="shared" si="1"/>
        <v/>
      </c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 ht="15.75" customHeight="1">
      <c r="A83" s="7" t="str">
        <f t="shared" si="1"/>
        <v/>
      </c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ht="15.75" customHeight="1">
      <c r="A84" s="7" t="str">
        <f t="shared" si="1"/>
        <v/>
      </c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 ht="15.75" customHeight="1">
      <c r="A85" s="7" t="str">
        <f t="shared" si="1"/>
        <v/>
      </c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 ht="15.75" customHeight="1">
      <c r="A86" s="7" t="str">
        <f t="shared" si="1"/>
        <v/>
      </c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 ht="15.75" customHeight="1">
      <c r="A87" s="7" t="str">
        <f t="shared" si="1"/>
        <v/>
      </c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ht="15.75" customHeight="1">
      <c r="A88" s="7" t="str">
        <f t="shared" si="1"/>
        <v/>
      </c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 ht="15.75" customHeight="1">
      <c r="A89" s="7" t="str">
        <f t="shared" si="1"/>
        <v/>
      </c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ht="15.75" customHeight="1">
      <c r="A90" s="7" t="str">
        <f t="shared" si="1"/>
        <v/>
      </c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 ht="15.75" customHeight="1">
      <c r="A91" s="7" t="str">
        <f t="shared" si="1"/>
        <v/>
      </c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15.75" customHeight="1">
      <c r="A92" s="7" t="str">
        <f t="shared" si="1"/>
        <v/>
      </c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 ht="15.75" customHeight="1">
      <c r="A93" s="7" t="str">
        <f t="shared" si="1"/>
        <v/>
      </c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ht="15.75" customHeight="1">
      <c r="A94" s="7" t="str">
        <f t="shared" si="1"/>
        <v/>
      </c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 ht="15.75" customHeight="1">
      <c r="A95" s="7" t="str">
        <f t="shared" si="1"/>
        <v/>
      </c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ht="15.75" customHeight="1">
      <c r="A96" s="7" t="str">
        <f t="shared" si="1"/>
        <v/>
      </c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 ht="15.75" customHeight="1">
      <c r="A97" s="7" t="str">
        <f t="shared" si="1"/>
        <v/>
      </c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ht="15.75" customHeight="1">
      <c r="A98" s="7" t="str">
        <f t="shared" si="1"/>
        <v/>
      </c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 ht="15.75" customHeight="1">
      <c r="A99" s="7" t="str">
        <f t="shared" si="1"/>
        <v/>
      </c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 ht="15.75" customHeight="1">
      <c r="A100" s="7" t="str">
        <f t="shared" si="1"/>
        <v/>
      </c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spans="1:11" ht="15.75" customHeight="1">
      <c r="A101" s="7" t="str">
        <f t="shared" si="1"/>
        <v/>
      </c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 ht="15.75" customHeight="1">
      <c r="A102" s="7" t="str">
        <f t="shared" si="1"/>
        <v/>
      </c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spans="1:11" ht="15.75" customHeight="1">
      <c r="A103" s="7" t="str">
        <f t="shared" si="1"/>
        <v/>
      </c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1:11" ht="15.75" customHeight="1">
      <c r="A104" s="7" t="str">
        <f t="shared" si="1"/>
        <v/>
      </c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1:11" ht="15.75" customHeight="1">
      <c r="A105" s="7" t="str">
        <f t="shared" si="1"/>
        <v/>
      </c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1:11" ht="15.75" customHeight="1">
      <c r="A106" s="7" t="str">
        <f t="shared" si="1"/>
        <v/>
      </c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1:11" ht="15.75" customHeight="1">
      <c r="A107" s="7" t="str">
        <f t="shared" si="1"/>
        <v/>
      </c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spans="1:11" ht="15.75" customHeight="1">
      <c r="A108" s="7" t="str">
        <f t="shared" si="1"/>
        <v/>
      </c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1:11" ht="15.75" customHeight="1">
      <c r="A109" s="7" t="str">
        <f t="shared" si="1"/>
        <v/>
      </c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 ht="15.75" customHeight="1">
      <c r="A110" s="7" t="str">
        <f t="shared" si="1"/>
        <v/>
      </c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1:11" ht="15.75" customHeight="1">
      <c r="A111" s="7" t="str">
        <f t="shared" si="1"/>
        <v/>
      </c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 ht="15.75" customHeight="1">
      <c r="A112" s="7" t="str">
        <f t="shared" si="1"/>
        <v/>
      </c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1:11" ht="15.75" customHeight="1">
      <c r="A113" s="7" t="str">
        <f t="shared" si="1"/>
        <v/>
      </c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1:11" ht="15.75" customHeight="1">
      <c r="A114" s="7" t="str">
        <f t="shared" si="1"/>
        <v/>
      </c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 ht="15.75" customHeight="1">
      <c r="A115" s="7" t="str">
        <f t="shared" si="1"/>
        <v/>
      </c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1:11" ht="15.75" customHeight="1">
      <c r="A116" s="7" t="str">
        <f t="shared" si="1"/>
        <v/>
      </c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spans="1:11" ht="15.75" customHeight="1">
      <c r="A117" s="7" t="str">
        <f t="shared" si="1"/>
        <v/>
      </c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spans="1:11" ht="15.75" customHeight="1">
      <c r="A118" s="7" t="str">
        <f t="shared" si="1"/>
        <v/>
      </c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spans="1:11" ht="15.75" customHeight="1">
      <c r="A119" s="7" t="str">
        <f t="shared" si="1"/>
        <v/>
      </c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spans="1:11" ht="15.75" customHeight="1">
      <c r="A120" s="7" t="str">
        <f t="shared" si="1"/>
        <v/>
      </c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spans="1:11" ht="15.75" customHeight="1">
      <c r="A121" s="7" t="str">
        <f t="shared" si="1"/>
        <v/>
      </c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1:11" ht="15.75" customHeight="1">
      <c r="A122" s="7" t="str">
        <f t="shared" si="1"/>
        <v/>
      </c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spans="1:11" ht="15.75" customHeight="1">
      <c r="A123" s="7" t="str">
        <f t="shared" si="1"/>
        <v/>
      </c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1:11" ht="15.75" customHeight="1">
      <c r="A124" s="7" t="str">
        <f t="shared" si="1"/>
        <v/>
      </c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spans="1:11" ht="15.75" customHeight="1">
      <c r="A125" s="7" t="str">
        <f t="shared" si="1"/>
        <v/>
      </c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spans="1:11" ht="15.75" customHeight="1">
      <c r="A126" s="7" t="str">
        <f t="shared" si="1"/>
        <v/>
      </c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spans="1:11" ht="15.75" customHeight="1">
      <c r="A127" s="7" t="str">
        <f t="shared" si="1"/>
        <v/>
      </c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spans="1:11" ht="15.75" customHeight="1">
      <c r="A128" s="7" t="str">
        <f t="shared" si="1"/>
        <v/>
      </c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spans="1:11" ht="15.75" customHeight="1">
      <c r="A129" s="7" t="str">
        <f t="shared" si="1"/>
        <v/>
      </c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spans="1:11" ht="15.75" customHeight="1">
      <c r="A130" s="7" t="str">
        <f t="shared" si="1"/>
        <v/>
      </c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spans="1:11" ht="15.75" customHeight="1">
      <c r="A131" s="7" t="str">
        <f t="shared" si="1"/>
        <v/>
      </c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spans="1:11" ht="15.75" customHeight="1">
      <c r="A132" s="7" t="str">
        <f t="shared" si="1"/>
        <v/>
      </c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spans="1:11" ht="15.75" customHeight="1">
      <c r="A133" s="7" t="str">
        <f t="shared" ref="A133:A196" si="2">IF(B133="","","EXE-"&amp;TEXT(ROW()-4,"0000"))</f>
        <v/>
      </c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spans="1:11" ht="15.75" customHeight="1">
      <c r="A134" s="7" t="str">
        <f t="shared" si="2"/>
        <v/>
      </c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spans="1:11" ht="15.75" customHeight="1">
      <c r="A135" s="7" t="str">
        <f t="shared" si="2"/>
        <v/>
      </c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spans="1:11" ht="15.75" customHeight="1">
      <c r="A136" s="7" t="str">
        <f t="shared" si="2"/>
        <v/>
      </c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spans="1:11" ht="15.75" customHeight="1">
      <c r="A137" s="7" t="str">
        <f t="shared" si="2"/>
        <v/>
      </c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spans="1:11" ht="15.75" customHeight="1">
      <c r="A138" s="7" t="str">
        <f t="shared" si="2"/>
        <v/>
      </c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 spans="1:11" ht="15.75" customHeight="1">
      <c r="A139" s="7" t="str">
        <f t="shared" si="2"/>
        <v/>
      </c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 spans="1:11" ht="15.75" customHeight="1">
      <c r="A140" s="7" t="str">
        <f t="shared" si="2"/>
        <v/>
      </c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spans="1:11" ht="15.75" customHeight="1">
      <c r="A141" s="7" t="str">
        <f t="shared" si="2"/>
        <v/>
      </c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 spans="1:11" ht="15.75" customHeight="1">
      <c r="A142" s="7" t="str">
        <f t="shared" si="2"/>
        <v/>
      </c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spans="1:11" ht="15.75" customHeight="1">
      <c r="A143" s="7" t="str">
        <f t="shared" si="2"/>
        <v/>
      </c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spans="1:11" ht="15.75" customHeight="1">
      <c r="A144" s="7" t="str">
        <f t="shared" si="2"/>
        <v/>
      </c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spans="1:11" ht="15.75" customHeight="1">
      <c r="A145" s="7" t="str">
        <f t="shared" si="2"/>
        <v/>
      </c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 spans="1:11" ht="15.75" customHeight="1">
      <c r="A146" s="7" t="str">
        <f t="shared" si="2"/>
        <v/>
      </c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1" ht="15.75" customHeight="1">
      <c r="A147" s="7" t="str">
        <f t="shared" si="2"/>
        <v/>
      </c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spans="1:11" ht="15.75" customHeight="1">
      <c r="A148" s="7" t="str">
        <f t="shared" si="2"/>
        <v/>
      </c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 spans="1:11" ht="15.75" customHeight="1">
      <c r="A149" s="7" t="str">
        <f t="shared" si="2"/>
        <v/>
      </c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 spans="1:11" ht="15.75" customHeight="1">
      <c r="A150" s="7" t="str">
        <f t="shared" si="2"/>
        <v/>
      </c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 spans="1:11" ht="15.75" customHeight="1">
      <c r="A151" s="7" t="str">
        <f t="shared" si="2"/>
        <v/>
      </c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spans="1:11" ht="15.75" customHeight="1">
      <c r="A152" s="7" t="str">
        <f t="shared" si="2"/>
        <v/>
      </c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 spans="1:11" ht="15.75" customHeight="1">
      <c r="A153" s="7" t="str">
        <f t="shared" si="2"/>
        <v/>
      </c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spans="1:11" ht="15.75" customHeight="1">
      <c r="A154" s="7" t="str">
        <f t="shared" si="2"/>
        <v/>
      </c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spans="1:11" ht="15.75" customHeight="1">
      <c r="A155" s="7" t="str">
        <f t="shared" si="2"/>
        <v/>
      </c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spans="1:11" ht="15.75" customHeight="1">
      <c r="A156" s="7" t="str">
        <f t="shared" si="2"/>
        <v/>
      </c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 spans="1:11" ht="15.75" customHeight="1">
      <c r="A157" s="7" t="str">
        <f t="shared" si="2"/>
        <v/>
      </c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spans="1:11" ht="15.75" customHeight="1">
      <c r="A158" s="7" t="str">
        <f t="shared" si="2"/>
        <v/>
      </c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 spans="1:11" ht="15.75" customHeight="1">
      <c r="A159" s="7" t="str">
        <f t="shared" si="2"/>
        <v/>
      </c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spans="1:11" ht="15.75" customHeight="1">
      <c r="A160" s="7" t="str">
        <f t="shared" si="2"/>
        <v/>
      </c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 spans="1:11" ht="15.75" customHeight="1">
      <c r="A161" s="7" t="str">
        <f t="shared" si="2"/>
        <v/>
      </c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spans="1:11" ht="15.75" customHeight="1">
      <c r="A162" s="7" t="str">
        <f t="shared" si="2"/>
        <v/>
      </c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 spans="1:11" ht="15.75" customHeight="1">
      <c r="A163" s="7" t="str">
        <f t="shared" si="2"/>
        <v/>
      </c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 spans="1:11" ht="15.75" customHeight="1">
      <c r="A164" s="7" t="str">
        <f t="shared" si="2"/>
        <v/>
      </c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spans="1:11" ht="15.75" customHeight="1">
      <c r="A165" s="7" t="str">
        <f t="shared" si="2"/>
        <v/>
      </c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 spans="1:11" ht="15.75" customHeight="1">
      <c r="A166" s="7" t="str">
        <f t="shared" si="2"/>
        <v/>
      </c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spans="1:11" ht="15.75" customHeight="1">
      <c r="A167" s="7" t="str">
        <f t="shared" si="2"/>
        <v/>
      </c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 spans="1:11" ht="15.75" customHeight="1">
      <c r="A168" s="7" t="str">
        <f t="shared" si="2"/>
        <v/>
      </c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 spans="1:11" ht="15.75" customHeight="1">
      <c r="A169" s="7" t="str">
        <f t="shared" si="2"/>
        <v/>
      </c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spans="1:11" ht="15.75" customHeight="1">
      <c r="A170" s="7" t="str">
        <f t="shared" si="2"/>
        <v/>
      </c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spans="1:11" ht="15.75" customHeight="1">
      <c r="A171" s="7" t="str">
        <f t="shared" si="2"/>
        <v/>
      </c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spans="1:11" ht="15.75" customHeight="1">
      <c r="A172" s="7" t="str">
        <f t="shared" si="2"/>
        <v/>
      </c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 spans="1:11" ht="15.75" customHeight="1">
      <c r="A173" s="7" t="str">
        <f t="shared" si="2"/>
        <v/>
      </c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spans="1:11" ht="15.75" customHeight="1">
      <c r="A174" s="7" t="str">
        <f t="shared" si="2"/>
        <v/>
      </c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spans="1:11" ht="15.75" customHeight="1">
      <c r="A175" s="7" t="str">
        <f t="shared" si="2"/>
        <v/>
      </c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spans="1:11" ht="15.75" customHeight="1">
      <c r="A176" s="7" t="str">
        <f t="shared" si="2"/>
        <v/>
      </c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spans="1:11" ht="15.75" customHeight="1">
      <c r="A177" s="7" t="str">
        <f t="shared" si="2"/>
        <v/>
      </c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spans="1:11" ht="15.75" customHeight="1">
      <c r="A178" s="7" t="str">
        <f t="shared" si="2"/>
        <v/>
      </c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 spans="1:11" ht="15.75" customHeight="1">
      <c r="A179" s="7" t="str">
        <f t="shared" si="2"/>
        <v/>
      </c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spans="1:11" ht="15.75" customHeight="1">
      <c r="A180" s="7" t="str">
        <f t="shared" si="2"/>
        <v/>
      </c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spans="1:11" ht="15.75" customHeight="1">
      <c r="A181" s="7" t="str">
        <f t="shared" si="2"/>
        <v/>
      </c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spans="1:11" ht="15.75" customHeight="1">
      <c r="A182" s="7" t="str">
        <f t="shared" si="2"/>
        <v/>
      </c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 spans="1:11" ht="15.75" customHeight="1">
      <c r="A183" s="7" t="str">
        <f t="shared" si="2"/>
        <v/>
      </c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 spans="1:11" ht="15.75" customHeight="1">
      <c r="A184" s="7" t="str">
        <f t="shared" si="2"/>
        <v/>
      </c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spans="1:11" ht="15.75" customHeight="1">
      <c r="A185" s="7" t="str">
        <f t="shared" si="2"/>
        <v/>
      </c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spans="1:11" ht="15.75" customHeight="1">
      <c r="A186" s="7" t="str">
        <f t="shared" si="2"/>
        <v/>
      </c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spans="1:11" ht="15.75" customHeight="1">
      <c r="A187" s="7" t="str">
        <f t="shared" si="2"/>
        <v/>
      </c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 spans="1:11" ht="15.75" customHeight="1">
      <c r="A188" s="7" t="str">
        <f t="shared" si="2"/>
        <v/>
      </c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 spans="1:11" ht="15.75" customHeight="1">
      <c r="A189" s="7" t="str">
        <f t="shared" si="2"/>
        <v/>
      </c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 spans="1:11" ht="15.75" customHeight="1">
      <c r="A190" s="7" t="str">
        <f t="shared" si="2"/>
        <v/>
      </c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 spans="1:11" ht="15.75" customHeight="1">
      <c r="A191" s="7" t="str">
        <f t="shared" si="2"/>
        <v/>
      </c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 spans="1:11" ht="15.75" customHeight="1">
      <c r="A192" s="7" t="str">
        <f t="shared" si="2"/>
        <v/>
      </c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 spans="1:11" ht="15.75" customHeight="1">
      <c r="A193" s="7" t="str">
        <f t="shared" si="2"/>
        <v/>
      </c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spans="1:11" ht="15.75" customHeight="1">
      <c r="A194" s="7" t="str">
        <f t="shared" si="2"/>
        <v/>
      </c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 spans="1:11" ht="15.75" customHeight="1">
      <c r="A195" s="7" t="str">
        <f t="shared" si="2"/>
        <v/>
      </c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 spans="1:11" ht="15.75" customHeight="1">
      <c r="A196" s="7" t="str">
        <f t="shared" si="2"/>
        <v/>
      </c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 spans="1:11" ht="15.75" customHeight="1">
      <c r="A197" s="7" t="str">
        <f t="shared" ref="A197:A260" si="3">IF(B197="","","EXE-"&amp;TEXT(ROW()-4,"0000"))</f>
        <v/>
      </c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 spans="1:11" ht="15.75" customHeight="1">
      <c r="A198" s="7" t="str">
        <f t="shared" si="3"/>
        <v/>
      </c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 spans="1:11" ht="15.75" customHeight="1">
      <c r="A199" s="7" t="str">
        <f t="shared" si="3"/>
        <v/>
      </c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 spans="1:11" ht="15.75" customHeight="1">
      <c r="A200" s="7" t="str">
        <f t="shared" si="3"/>
        <v/>
      </c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 spans="1:11" ht="15.75" customHeight="1">
      <c r="A201" s="7" t="str">
        <f t="shared" si="3"/>
        <v/>
      </c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 spans="1:11" ht="15.75" customHeight="1">
      <c r="A202" s="7" t="str">
        <f t="shared" si="3"/>
        <v/>
      </c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 spans="1:11" ht="15.75" customHeight="1">
      <c r="A203" s="7" t="str">
        <f t="shared" si="3"/>
        <v/>
      </c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 spans="1:11" ht="15.75" customHeight="1">
      <c r="A204" s="7" t="str">
        <f t="shared" si="3"/>
        <v/>
      </c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 spans="1:11" ht="15.75" customHeight="1">
      <c r="A205" s="7" t="str">
        <f t="shared" si="3"/>
        <v/>
      </c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 spans="1:11" ht="15.75" customHeight="1">
      <c r="A206" s="7" t="str">
        <f t="shared" si="3"/>
        <v/>
      </c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 spans="1:11" ht="15.75" customHeight="1">
      <c r="A207" s="7" t="str">
        <f t="shared" si="3"/>
        <v/>
      </c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 spans="1:11" ht="15.75" customHeight="1">
      <c r="A208" s="7" t="str">
        <f t="shared" si="3"/>
        <v/>
      </c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 spans="1:11" ht="15.75" customHeight="1">
      <c r="A209" s="7" t="str">
        <f t="shared" si="3"/>
        <v/>
      </c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 spans="1:11" ht="15.75" customHeight="1">
      <c r="A210" s="7" t="str">
        <f t="shared" si="3"/>
        <v/>
      </c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 spans="1:11" ht="15.75" customHeight="1">
      <c r="A211" s="7" t="str">
        <f t="shared" si="3"/>
        <v/>
      </c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 spans="1:11" ht="15.75" customHeight="1">
      <c r="A212" s="7" t="str">
        <f t="shared" si="3"/>
        <v/>
      </c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 spans="1:11" ht="15.75" customHeight="1">
      <c r="A213" s="7" t="str">
        <f t="shared" si="3"/>
        <v/>
      </c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 spans="1:11" ht="15.75" customHeight="1">
      <c r="A214" s="7" t="str">
        <f t="shared" si="3"/>
        <v/>
      </c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 spans="1:11" ht="15.75" customHeight="1">
      <c r="A215" s="7" t="str">
        <f t="shared" si="3"/>
        <v/>
      </c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 spans="1:11" ht="15.75" customHeight="1">
      <c r="A216" s="7" t="str">
        <f t="shared" si="3"/>
        <v/>
      </c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 spans="1:11" ht="15.75" customHeight="1">
      <c r="A217" s="7" t="str">
        <f t="shared" si="3"/>
        <v/>
      </c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 spans="1:11" ht="15.75" customHeight="1">
      <c r="A218" s="7" t="str">
        <f t="shared" si="3"/>
        <v/>
      </c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 spans="1:11" ht="15.75" customHeight="1">
      <c r="A219" s="7" t="str">
        <f t="shared" si="3"/>
        <v/>
      </c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 spans="1:11" ht="15.75" customHeight="1">
      <c r="A220" s="7" t="str">
        <f t="shared" si="3"/>
        <v/>
      </c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 spans="1:11" ht="15.75" customHeight="1">
      <c r="A221" s="7" t="str">
        <f t="shared" si="3"/>
        <v/>
      </c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 spans="1:11" ht="15.75" customHeight="1">
      <c r="A222" s="7" t="str">
        <f t="shared" si="3"/>
        <v/>
      </c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 spans="1:11" ht="15.75" customHeight="1">
      <c r="A223" s="7" t="str">
        <f t="shared" si="3"/>
        <v/>
      </c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 spans="1:11" ht="15.75" customHeight="1">
      <c r="A224" s="7" t="str">
        <f t="shared" si="3"/>
        <v/>
      </c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 spans="1:11" ht="15.75" customHeight="1">
      <c r="A225" s="7" t="str">
        <f t="shared" si="3"/>
        <v/>
      </c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 spans="1:11" ht="15.75" customHeight="1">
      <c r="A226" s="7" t="str">
        <f t="shared" si="3"/>
        <v/>
      </c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 spans="1:11" ht="15.75" customHeight="1">
      <c r="A227" s="7" t="str">
        <f t="shared" si="3"/>
        <v/>
      </c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 spans="1:11" ht="15.75" customHeight="1">
      <c r="A228" s="7" t="str">
        <f t="shared" si="3"/>
        <v/>
      </c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 spans="1:11" ht="15.75" customHeight="1">
      <c r="A229" s="7" t="str">
        <f t="shared" si="3"/>
        <v/>
      </c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 spans="1:11" ht="15.75" customHeight="1">
      <c r="A230" s="7" t="str">
        <f t="shared" si="3"/>
        <v/>
      </c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 spans="1:11" ht="15.75" customHeight="1">
      <c r="A231" s="7" t="str">
        <f t="shared" si="3"/>
        <v/>
      </c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 spans="1:11" ht="15.75" customHeight="1">
      <c r="A232" s="7" t="str">
        <f t="shared" si="3"/>
        <v/>
      </c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 spans="1:11" ht="15.75" customHeight="1">
      <c r="A233" s="7" t="str">
        <f t="shared" si="3"/>
        <v/>
      </c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 spans="1:11" ht="15.75" customHeight="1">
      <c r="A234" s="7" t="str">
        <f t="shared" si="3"/>
        <v/>
      </c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 spans="1:11" ht="15.75" customHeight="1">
      <c r="A235" s="7" t="str">
        <f t="shared" si="3"/>
        <v/>
      </c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 spans="1:11" ht="15.75" customHeight="1">
      <c r="A236" s="7" t="str">
        <f t="shared" si="3"/>
        <v/>
      </c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 spans="1:11" ht="15.75" customHeight="1">
      <c r="A237" s="7" t="str">
        <f t="shared" si="3"/>
        <v/>
      </c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 spans="1:11" ht="15.75" customHeight="1">
      <c r="A238" s="7" t="str">
        <f t="shared" si="3"/>
        <v/>
      </c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 spans="1:11" ht="15.75" customHeight="1">
      <c r="A239" s="7" t="str">
        <f t="shared" si="3"/>
        <v/>
      </c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 spans="1:11" ht="15.75" customHeight="1">
      <c r="A240" s="7" t="str">
        <f t="shared" si="3"/>
        <v/>
      </c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 spans="1:11" ht="15.75" customHeight="1">
      <c r="A241" s="7" t="str">
        <f t="shared" si="3"/>
        <v/>
      </c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 spans="1:11" ht="15.75" customHeight="1">
      <c r="A242" s="7" t="str">
        <f t="shared" si="3"/>
        <v/>
      </c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 spans="1:11" ht="15.75" customHeight="1">
      <c r="A243" s="7" t="str">
        <f t="shared" si="3"/>
        <v/>
      </c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 spans="1:11" ht="15.75" customHeight="1">
      <c r="A244" s="7" t="str">
        <f t="shared" si="3"/>
        <v/>
      </c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 spans="1:11" ht="15.75" customHeight="1">
      <c r="A245" s="7" t="str">
        <f t="shared" si="3"/>
        <v/>
      </c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 spans="1:11" ht="15.75" customHeight="1">
      <c r="A246" s="7" t="str">
        <f t="shared" si="3"/>
        <v/>
      </c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 spans="1:11" ht="15.75" customHeight="1">
      <c r="A247" s="7" t="str">
        <f t="shared" si="3"/>
        <v/>
      </c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 spans="1:11" ht="15.75" customHeight="1">
      <c r="A248" s="7" t="str">
        <f t="shared" si="3"/>
        <v/>
      </c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 spans="1:11" ht="15.75" customHeight="1">
      <c r="A249" s="7" t="str">
        <f t="shared" si="3"/>
        <v/>
      </c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 spans="1:11" ht="15.75" customHeight="1">
      <c r="A250" s="7" t="str">
        <f t="shared" si="3"/>
        <v/>
      </c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 spans="1:11" ht="15.75" customHeight="1">
      <c r="A251" s="7" t="str">
        <f t="shared" si="3"/>
        <v/>
      </c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 spans="1:11" ht="15.75" customHeight="1">
      <c r="A252" s="7" t="str">
        <f t="shared" si="3"/>
        <v/>
      </c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 spans="1:11" ht="15.75" customHeight="1">
      <c r="A253" s="7" t="str">
        <f t="shared" si="3"/>
        <v/>
      </c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 spans="1:11" ht="15.75" customHeight="1">
      <c r="A254" s="7" t="str">
        <f t="shared" si="3"/>
        <v/>
      </c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 spans="1:11" ht="15.75" customHeight="1">
      <c r="A255" s="7" t="str">
        <f t="shared" si="3"/>
        <v/>
      </c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 spans="1:11" ht="15.75" customHeight="1">
      <c r="A256" s="7" t="str">
        <f t="shared" si="3"/>
        <v/>
      </c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 spans="1:11" ht="15.75" customHeight="1">
      <c r="A257" s="7" t="str">
        <f t="shared" si="3"/>
        <v/>
      </c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 spans="1:11" ht="15.75" customHeight="1">
      <c r="A258" s="7" t="str">
        <f t="shared" si="3"/>
        <v/>
      </c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 spans="1:11" ht="15.75" customHeight="1">
      <c r="A259" s="7" t="str">
        <f t="shared" si="3"/>
        <v/>
      </c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 spans="1:11" ht="15.75" customHeight="1">
      <c r="A260" s="7" t="str">
        <f t="shared" si="3"/>
        <v/>
      </c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 spans="1:11" ht="15.75" customHeight="1">
      <c r="A261" s="7" t="str">
        <f t="shared" ref="A261:A324" si="4">IF(B261="","","EXE-"&amp;TEXT(ROW()-4,"0000"))</f>
        <v/>
      </c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 spans="1:11" ht="15.75" customHeight="1">
      <c r="A262" s="7" t="str">
        <f t="shared" si="4"/>
        <v/>
      </c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 spans="1:11" ht="15.75" customHeight="1">
      <c r="A263" s="7" t="str">
        <f t="shared" si="4"/>
        <v/>
      </c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 spans="1:11" ht="15.75" customHeight="1">
      <c r="A264" s="7" t="str">
        <f t="shared" si="4"/>
        <v/>
      </c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 spans="1:11" ht="15.75" customHeight="1">
      <c r="A265" s="7" t="str">
        <f t="shared" si="4"/>
        <v/>
      </c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 spans="1:11" ht="15.75" customHeight="1">
      <c r="A266" s="7" t="str">
        <f t="shared" si="4"/>
        <v/>
      </c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 spans="1:11" ht="15.75" customHeight="1">
      <c r="A267" s="7" t="str">
        <f t="shared" si="4"/>
        <v/>
      </c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 spans="1:11" ht="15.75" customHeight="1">
      <c r="A268" s="7" t="str">
        <f t="shared" si="4"/>
        <v/>
      </c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 spans="1:11" ht="15.75" customHeight="1">
      <c r="A269" s="7" t="str">
        <f t="shared" si="4"/>
        <v/>
      </c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 spans="1:11" ht="15.75" customHeight="1">
      <c r="A270" s="7" t="str">
        <f t="shared" si="4"/>
        <v/>
      </c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 spans="1:11" ht="15.75" customHeight="1">
      <c r="A271" s="7" t="str">
        <f t="shared" si="4"/>
        <v/>
      </c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 spans="1:11" ht="15.75" customHeight="1">
      <c r="A272" s="7" t="str">
        <f t="shared" si="4"/>
        <v/>
      </c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 spans="1:11" ht="15.75" customHeight="1">
      <c r="A273" s="7" t="str">
        <f t="shared" si="4"/>
        <v/>
      </c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 spans="1:11" ht="15.75" customHeight="1">
      <c r="A274" s="7" t="str">
        <f t="shared" si="4"/>
        <v/>
      </c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 spans="1:11" ht="15.75" customHeight="1">
      <c r="A275" s="7" t="str">
        <f t="shared" si="4"/>
        <v/>
      </c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 spans="1:11" ht="15.75" customHeight="1">
      <c r="A276" s="7" t="str">
        <f t="shared" si="4"/>
        <v/>
      </c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 spans="1:11" ht="15.75" customHeight="1">
      <c r="A277" s="7" t="str">
        <f t="shared" si="4"/>
        <v/>
      </c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 spans="1:11" ht="15.75" customHeight="1">
      <c r="A278" s="7" t="str">
        <f t="shared" si="4"/>
        <v/>
      </c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 spans="1:11" ht="15.75" customHeight="1">
      <c r="A279" s="7" t="str">
        <f t="shared" si="4"/>
        <v/>
      </c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 spans="1:11" ht="15.75" customHeight="1">
      <c r="A280" s="7" t="str">
        <f t="shared" si="4"/>
        <v/>
      </c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 spans="1:11" ht="15.75" customHeight="1">
      <c r="A281" s="7" t="str">
        <f t="shared" si="4"/>
        <v/>
      </c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 spans="1:11" ht="15.75" customHeight="1">
      <c r="A282" s="7" t="str">
        <f t="shared" si="4"/>
        <v/>
      </c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 spans="1:11" ht="15.75" customHeight="1">
      <c r="A283" s="7" t="str">
        <f t="shared" si="4"/>
        <v/>
      </c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 spans="1:11" ht="15.75" customHeight="1">
      <c r="A284" s="7" t="str">
        <f t="shared" si="4"/>
        <v/>
      </c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 spans="1:11" ht="15.75" customHeight="1">
      <c r="A285" s="7" t="str">
        <f t="shared" si="4"/>
        <v/>
      </c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 spans="1:11" ht="15.75" customHeight="1">
      <c r="A286" s="7" t="str">
        <f t="shared" si="4"/>
        <v/>
      </c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 spans="1:11" ht="15.75" customHeight="1">
      <c r="A287" s="7" t="str">
        <f t="shared" si="4"/>
        <v/>
      </c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 spans="1:11" ht="15.75" customHeight="1">
      <c r="A288" s="7" t="str">
        <f t="shared" si="4"/>
        <v/>
      </c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 spans="1:11" ht="15.75" customHeight="1">
      <c r="A289" s="7" t="str">
        <f t="shared" si="4"/>
        <v/>
      </c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 spans="1:11" ht="15.75" customHeight="1">
      <c r="A290" s="7" t="str">
        <f t="shared" si="4"/>
        <v/>
      </c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 spans="1:11" ht="15.75" customHeight="1">
      <c r="A291" s="7" t="str">
        <f t="shared" si="4"/>
        <v/>
      </c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 spans="1:11" ht="15.75" customHeight="1">
      <c r="A292" s="7" t="str">
        <f t="shared" si="4"/>
        <v/>
      </c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 spans="1:11" ht="15.75" customHeight="1">
      <c r="A293" s="7" t="str">
        <f t="shared" si="4"/>
        <v/>
      </c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 spans="1:11" ht="15.75" customHeight="1">
      <c r="A294" s="7" t="str">
        <f t="shared" si="4"/>
        <v/>
      </c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 spans="1:11" ht="15.75" customHeight="1">
      <c r="A295" s="7" t="str">
        <f t="shared" si="4"/>
        <v/>
      </c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 spans="1:11" ht="15.75" customHeight="1">
      <c r="A296" s="7" t="str">
        <f t="shared" si="4"/>
        <v/>
      </c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 spans="1:11" ht="15.75" customHeight="1">
      <c r="A297" s="7" t="str">
        <f t="shared" si="4"/>
        <v/>
      </c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 spans="1:11" ht="15.75" customHeight="1">
      <c r="A298" s="7" t="str">
        <f t="shared" si="4"/>
        <v/>
      </c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 spans="1:11" ht="15.75" customHeight="1">
      <c r="A299" s="7" t="str">
        <f t="shared" si="4"/>
        <v/>
      </c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 spans="1:11" ht="15.75" customHeight="1">
      <c r="A300" s="7" t="str">
        <f t="shared" si="4"/>
        <v/>
      </c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 spans="1:11" ht="15.75" customHeight="1">
      <c r="A301" s="7" t="str">
        <f t="shared" si="4"/>
        <v/>
      </c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 spans="1:11" ht="15.75" customHeight="1">
      <c r="A302" s="7" t="str">
        <f t="shared" si="4"/>
        <v/>
      </c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 spans="1:11" ht="15.75" customHeight="1">
      <c r="A303" s="7" t="str">
        <f t="shared" si="4"/>
        <v/>
      </c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 spans="1:11" ht="15.75" customHeight="1">
      <c r="A304" s="7" t="str">
        <f t="shared" si="4"/>
        <v/>
      </c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 spans="1:11" ht="15.75" customHeight="1">
      <c r="A305" s="7" t="str">
        <f t="shared" si="4"/>
        <v/>
      </c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 spans="1:11" ht="15.75" customHeight="1">
      <c r="A306" s="7" t="str">
        <f t="shared" si="4"/>
        <v/>
      </c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 spans="1:11" ht="15.75" customHeight="1">
      <c r="A307" s="7" t="str">
        <f t="shared" si="4"/>
        <v/>
      </c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 spans="1:11" ht="15.75" customHeight="1">
      <c r="A308" s="7" t="str">
        <f t="shared" si="4"/>
        <v/>
      </c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 spans="1:11" ht="15.75" customHeight="1">
      <c r="A309" s="7" t="str">
        <f t="shared" si="4"/>
        <v/>
      </c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 spans="1:11" ht="15.75" customHeight="1">
      <c r="A310" s="7" t="str">
        <f t="shared" si="4"/>
        <v/>
      </c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 spans="1:11" ht="15.75" customHeight="1">
      <c r="A311" s="7" t="str">
        <f t="shared" si="4"/>
        <v/>
      </c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 spans="1:11" ht="15.75" customHeight="1">
      <c r="A312" s="7" t="str">
        <f t="shared" si="4"/>
        <v/>
      </c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 spans="1:11" ht="15.75" customHeight="1">
      <c r="A313" s="7" t="str">
        <f t="shared" si="4"/>
        <v/>
      </c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 spans="1:11" ht="15.75" customHeight="1">
      <c r="A314" s="7" t="str">
        <f t="shared" si="4"/>
        <v/>
      </c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 spans="1:11" ht="15.75" customHeight="1">
      <c r="A315" s="7" t="str">
        <f t="shared" si="4"/>
        <v/>
      </c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 spans="1:11" ht="15.75" customHeight="1">
      <c r="A316" s="7" t="str">
        <f t="shared" si="4"/>
        <v/>
      </c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 spans="1:11" ht="15.75" customHeight="1">
      <c r="A317" s="7" t="str">
        <f t="shared" si="4"/>
        <v/>
      </c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 spans="1:11" ht="15.75" customHeight="1">
      <c r="A318" s="7" t="str">
        <f t="shared" si="4"/>
        <v/>
      </c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 spans="1:11" ht="15.75" customHeight="1">
      <c r="A319" s="7" t="str">
        <f t="shared" si="4"/>
        <v/>
      </c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 spans="1:11" ht="15.75" customHeight="1">
      <c r="A320" s="7" t="str">
        <f t="shared" si="4"/>
        <v/>
      </c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 spans="1:11" ht="15.75" customHeight="1">
      <c r="A321" s="7" t="str">
        <f t="shared" si="4"/>
        <v/>
      </c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 spans="1:11" ht="15.75" customHeight="1">
      <c r="A322" s="7" t="str">
        <f t="shared" si="4"/>
        <v/>
      </c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 spans="1:11" ht="15.75" customHeight="1">
      <c r="A323" s="7" t="str">
        <f t="shared" si="4"/>
        <v/>
      </c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 spans="1:11" ht="15.75" customHeight="1">
      <c r="A324" s="7" t="str">
        <f t="shared" si="4"/>
        <v/>
      </c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 spans="1:11" ht="15.75" customHeight="1">
      <c r="A325" s="7" t="str">
        <f t="shared" ref="A325:A388" si="5">IF(B325="","","EXE-"&amp;TEXT(ROW()-4,"0000"))</f>
        <v/>
      </c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 spans="1:11" ht="15.75" customHeight="1">
      <c r="A326" s="7" t="str">
        <f t="shared" si="5"/>
        <v/>
      </c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 spans="1:11" ht="15.75" customHeight="1">
      <c r="A327" s="7" t="str">
        <f t="shared" si="5"/>
        <v/>
      </c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 spans="1:11" ht="15.75" customHeight="1">
      <c r="A328" s="7" t="str">
        <f t="shared" si="5"/>
        <v/>
      </c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 spans="1:11" ht="15.75" customHeight="1">
      <c r="A329" s="7" t="str">
        <f t="shared" si="5"/>
        <v/>
      </c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 spans="1:11" ht="15.75" customHeight="1">
      <c r="A330" s="7" t="str">
        <f t="shared" si="5"/>
        <v/>
      </c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 spans="1:11" ht="15.75" customHeight="1">
      <c r="A331" s="7" t="str">
        <f t="shared" si="5"/>
        <v/>
      </c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 spans="1:11" ht="15.75" customHeight="1">
      <c r="A332" s="7" t="str">
        <f t="shared" si="5"/>
        <v/>
      </c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 spans="1:11" ht="15.75" customHeight="1">
      <c r="A333" s="7" t="str">
        <f t="shared" si="5"/>
        <v/>
      </c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 spans="1:11" ht="15.75" customHeight="1">
      <c r="A334" s="7" t="str">
        <f t="shared" si="5"/>
        <v/>
      </c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 spans="1:11" ht="15.75" customHeight="1">
      <c r="A335" s="7" t="str">
        <f t="shared" si="5"/>
        <v/>
      </c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 spans="1:11" ht="15.75" customHeight="1">
      <c r="A336" s="7" t="str">
        <f t="shared" si="5"/>
        <v/>
      </c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 spans="1:11" ht="15.75" customHeight="1">
      <c r="A337" s="7" t="str">
        <f t="shared" si="5"/>
        <v/>
      </c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 spans="1:11" ht="15.75" customHeight="1">
      <c r="A338" s="7" t="str">
        <f t="shared" si="5"/>
        <v/>
      </c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 spans="1:11" ht="15.75" customHeight="1">
      <c r="A339" s="7" t="str">
        <f t="shared" si="5"/>
        <v/>
      </c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 spans="1:11" ht="15.75" customHeight="1">
      <c r="A340" s="7" t="str">
        <f t="shared" si="5"/>
        <v/>
      </c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 spans="1:11" ht="15.75" customHeight="1">
      <c r="A341" s="7" t="str">
        <f t="shared" si="5"/>
        <v/>
      </c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 spans="1:11" ht="15.75" customHeight="1">
      <c r="A342" s="7" t="str">
        <f t="shared" si="5"/>
        <v/>
      </c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 spans="1:11" ht="15.75" customHeight="1">
      <c r="A343" s="7" t="str">
        <f t="shared" si="5"/>
        <v/>
      </c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 spans="1:11" ht="15.75" customHeight="1">
      <c r="A344" s="7" t="str">
        <f t="shared" si="5"/>
        <v/>
      </c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 spans="1:11" ht="15.75" customHeight="1">
      <c r="A345" s="7" t="str">
        <f t="shared" si="5"/>
        <v/>
      </c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 spans="1:11" ht="15.75" customHeight="1">
      <c r="A346" s="7" t="str">
        <f t="shared" si="5"/>
        <v/>
      </c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 spans="1:11" ht="15.75" customHeight="1">
      <c r="A347" s="7" t="str">
        <f t="shared" si="5"/>
        <v/>
      </c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 spans="1:11" ht="15.75" customHeight="1">
      <c r="A348" s="7" t="str">
        <f t="shared" si="5"/>
        <v/>
      </c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 spans="1:11" ht="15.75" customHeight="1">
      <c r="A349" s="7" t="str">
        <f t="shared" si="5"/>
        <v/>
      </c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 spans="1:11" ht="15.75" customHeight="1">
      <c r="A350" s="7" t="str">
        <f t="shared" si="5"/>
        <v/>
      </c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 spans="1:11" ht="15.75" customHeight="1">
      <c r="A351" s="7" t="str">
        <f t="shared" si="5"/>
        <v/>
      </c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 spans="1:11" ht="15.75" customHeight="1">
      <c r="A352" s="7" t="str">
        <f t="shared" si="5"/>
        <v/>
      </c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 spans="1:11" ht="15.75" customHeight="1">
      <c r="A353" s="7" t="str">
        <f t="shared" si="5"/>
        <v/>
      </c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 spans="1:11" ht="15.75" customHeight="1">
      <c r="A354" s="7" t="str">
        <f t="shared" si="5"/>
        <v/>
      </c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 spans="1:11" ht="15.75" customHeight="1">
      <c r="A355" s="7" t="str">
        <f t="shared" si="5"/>
        <v/>
      </c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 spans="1:11" ht="15.75" customHeight="1">
      <c r="A356" s="7" t="str">
        <f t="shared" si="5"/>
        <v/>
      </c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 spans="1:11" ht="15.75" customHeight="1">
      <c r="A357" s="7" t="str">
        <f t="shared" si="5"/>
        <v/>
      </c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 spans="1:11" ht="15.75" customHeight="1">
      <c r="A358" s="7" t="str">
        <f t="shared" si="5"/>
        <v/>
      </c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 spans="1:11" ht="15.75" customHeight="1">
      <c r="A359" s="7" t="str">
        <f t="shared" si="5"/>
        <v/>
      </c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 spans="1:11" ht="15.75" customHeight="1">
      <c r="A360" s="7" t="str">
        <f t="shared" si="5"/>
        <v/>
      </c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 spans="1:11" ht="15.75" customHeight="1">
      <c r="A361" s="7" t="str">
        <f t="shared" si="5"/>
        <v/>
      </c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 spans="1:11" ht="15.75" customHeight="1">
      <c r="A362" s="7" t="str">
        <f t="shared" si="5"/>
        <v/>
      </c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 spans="1:11" ht="15.75" customHeight="1">
      <c r="A363" s="7" t="str">
        <f t="shared" si="5"/>
        <v/>
      </c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 spans="1:11" ht="15.75" customHeight="1">
      <c r="A364" s="7" t="str">
        <f t="shared" si="5"/>
        <v/>
      </c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 spans="1:11" ht="15.75" customHeight="1">
      <c r="A365" s="7" t="str">
        <f t="shared" si="5"/>
        <v/>
      </c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 spans="1:11" ht="15.75" customHeight="1">
      <c r="A366" s="7" t="str">
        <f t="shared" si="5"/>
        <v/>
      </c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 spans="1:11" ht="15.75" customHeight="1">
      <c r="A367" s="7" t="str">
        <f t="shared" si="5"/>
        <v/>
      </c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 spans="1:11" ht="15.75" customHeight="1">
      <c r="A368" s="7" t="str">
        <f t="shared" si="5"/>
        <v/>
      </c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 spans="1:11" ht="15.75" customHeight="1">
      <c r="A369" s="7" t="str">
        <f t="shared" si="5"/>
        <v/>
      </c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 spans="1:11" ht="15.75" customHeight="1">
      <c r="A370" s="7" t="str">
        <f t="shared" si="5"/>
        <v/>
      </c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 spans="1:11" ht="15.75" customHeight="1">
      <c r="A371" s="7" t="str">
        <f t="shared" si="5"/>
        <v/>
      </c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 spans="1:11" ht="15.75" customHeight="1">
      <c r="A372" s="7" t="str">
        <f t="shared" si="5"/>
        <v/>
      </c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 spans="1:11" ht="15.75" customHeight="1">
      <c r="A373" s="7" t="str">
        <f t="shared" si="5"/>
        <v/>
      </c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 spans="1:11" ht="15.75" customHeight="1">
      <c r="A374" s="7" t="str">
        <f t="shared" si="5"/>
        <v/>
      </c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 spans="1:11" ht="15.75" customHeight="1">
      <c r="A375" s="7" t="str">
        <f t="shared" si="5"/>
        <v/>
      </c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 spans="1:11" ht="15.75" customHeight="1">
      <c r="A376" s="7" t="str">
        <f t="shared" si="5"/>
        <v/>
      </c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 spans="1:11" ht="15.75" customHeight="1">
      <c r="A377" s="7" t="str">
        <f t="shared" si="5"/>
        <v/>
      </c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 spans="1:11" ht="15.75" customHeight="1">
      <c r="A378" s="7" t="str">
        <f t="shared" si="5"/>
        <v/>
      </c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 spans="1:11" ht="15.75" customHeight="1">
      <c r="A379" s="7" t="str">
        <f t="shared" si="5"/>
        <v/>
      </c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 spans="1:11" ht="15.75" customHeight="1">
      <c r="A380" s="7" t="str">
        <f t="shared" si="5"/>
        <v/>
      </c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 spans="1:11" ht="15.75" customHeight="1">
      <c r="A381" s="7" t="str">
        <f t="shared" si="5"/>
        <v/>
      </c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 spans="1:11" ht="15.75" customHeight="1">
      <c r="A382" s="7" t="str">
        <f t="shared" si="5"/>
        <v/>
      </c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 spans="1:11" ht="15.75" customHeight="1">
      <c r="A383" s="7" t="str">
        <f t="shared" si="5"/>
        <v/>
      </c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 spans="1:11" ht="15.75" customHeight="1">
      <c r="A384" s="7" t="str">
        <f t="shared" si="5"/>
        <v/>
      </c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 spans="1:11" ht="15.75" customHeight="1">
      <c r="A385" s="7" t="str">
        <f t="shared" si="5"/>
        <v/>
      </c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 spans="1:11" ht="15.75" customHeight="1">
      <c r="A386" s="7" t="str">
        <f t="shared" si="5"/>
        <v/>
      </c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 spans="1:11" ht="15.75" customHeight="1">
      <c r="A387" s="7" t="str">
        <f t="shared" si="5"/>
        <v/>
      </c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 spans="1:11" ht="15.75" customHeight="1">
      <c r="A388" s="7" t="str">
        <f t="shared" si="5"/>
        <v/>
      </c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 spans="1:11" ht="15.75" customHeight="1">
      <c r="A389" s="7" t="str">
        <f t="shared" ref="A389:A452" si="6">IF(B389="","","EXE-"&amp;TEXT(ROW()-4,"0000"))</f>
        <v/>
      </c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 spans="1:11" ht="15.75" customHeight="1">
      <c r="A390" s="7" t="str">
        <f t="shared" si="6"/>
        <v/>
      </c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 spans="1:11" ht="15.75" customHeight="1">
      <c r="A391" s="7" t="str">
        <f t="shared" si="6"/>
        <v/>
      </c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 spans="1:11" ht="15.75" customHeight="1">
      <c r="A392" s="7" t="str">
        <f t="shared" si="6"/>
        <v/>
      </c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 spans="1:11" ht="15.75" customHeight="1">
      <c r="A393" s="7" t="str">
        <f t="shared" si="6"/>
        <v/>
      </c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 spans="1:11" ht="15.75" customHeight="1">
      <c r="A394" s="7" t="str">
        <f t="shared" si="6"/>
        <v/>
      </c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 spans="1:11" ht="15.75" customHeight="1">
      <c r="A395" s="7" t="str">
        <f t="shared" si="6"/>
        <v/>
      </c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 spans="1:11" ht="15.75" customHeight="1">
      <c r="A396" s="7" t="str">
        <f t="shared" si="6"/>
        <v/>
      </c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 spans="1:11" ht="15.75" customHeight="1">
      <c r="A397" s="7" t="str">
        <f t="shared" si="6"/>
        <v/>
      </c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 spans="1:11" ht="15.75" customHeight="1">
      <c r="A398" s="7" t="str">
        <f t="shared" si="6"/>
        <v/>
      </c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 spans="1:11" ht="15.75" customHeight="1">
      <c r="A399" s="7" t="str">
        <f t="shared" si="6"/>
        <v/>
      </c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 spans="1:11" ht="15.75" customHeight="1">
      <c r="A400" s="7" t="str">
        <f t="shared" si="6"/>
        <v/>
      </c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 spans="1:11" ht="15.75" customHeight="1">
      <c r="A401" s="7" t="str">
        <f t="shared" si="6"/>
        <v/>
      </c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 spans="1:11" ht="15.75" customHeight="1">
      <c r="A402" s="7" t="str">
        <f t="shared" si="6"/>
        <v/>
      </c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 spans="1:11" ht="15.75" customHeight="1">
      <c r="A403" s="7" t="str">
        <f t="shared" si="6"/>
        <v/>
      </c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 spans="1:11" ht="15.75" customHeight="1">
      <c r="A404" s="7" t="str">
        <f t="shared" si="6"/>
        <v/>
      </c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 spans="1:11" ht="15.75" customHeight="1">
      <c r="A405" s="7" t="str">
        <f t="shared" si="6"/>
        <v/>
      </c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 spans="1:11" ht="15.75" customHeight="1">
      <c r="A406" s="7" t="str">
        <f t="shared" si="6"/>
        <v/>
      </c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 spans="1:11" ht="15.75" customHeight="1">
      <c r="A407" s="7" t="str">
        <f t="shared" si="6"/>
        <v/>
      </c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 spans="1:11" ht="15.75" customHeight="1">
      <c r="A408" s="7" t="str">
        <f t="shared" si="6"/>
        <v/>
      </c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 spans="1:11" ht="15.75" customHeight="1">
      <c r="A409" s="7" t="str">
        <f t="shared" si="6"/>
        <v/>
      </c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 spans="1:11" ht="15.75" customHeight="1">
      <c r="A410" s="7" t="str">
        <f t="shared" si="6"/>
        <v/>
      </c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 spans="1:11" ht="15.75" customHeight="1">
      <c r="A411" s="7" t="str">
        <f t="shared" si="6"/>
        <v/>
      </c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 spans="1:11" ht="15.75" customHeight="1">
      <c r="A412" s="7" t="str">
        <f t="shared" si="6"/>
        <v/>
      </c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 spans="1:11" ht="15.75" customHeight="1">
      <c r="A413" s="7" t="str">
        <f t="shared" si="6"/>
        <v/>
      </c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 spans="1:11" ht="15.75" customHeight="1">
      <c r="A414" s="7" t="str">
        <f t="shared" si="6"/>
        <v/>
      </c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 spans="1:11" ht="15.75" customHeight="1">
      <c r="A415" s="7" t="str">
        <f t="shared" si="6"/>
        <v/>
      </c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 spans="1:11" ht="15.75" customHeight="1">
      <c r="A416" s="7" t="str">
        <f t="shared" si="6"/>
        <v/>
      </c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 spans="1:11" ht="15.75" customHeight="1">
      <c r="A417" s="7" t="str">
        <f t="shared" si="6"/>
        <v/>
      </c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 spans="1:11" ht="15.75" customHeight="1">
      <c r="A418" s="7" t="str">
        <f t="shared" si="6"/>
        <v/>
      </c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 spans="1:11" ht="15.75" customHeight="1">
      <c r="A419" s="7" t="str">
        <f t="shared" si="6"/>
        <v/>
      </c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 spans="1:11" ht="15.75" customHeight="1">
      <c r="A420" s="7" t="str">
        <f t="shared" si="6"/>
        <v/>
      </c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 spans="1:11" ht="15.75" customHeight="1">
      <c r="A421" s="7" t="str">
        <f t="shared" si="6"/>
        <v/>
      </c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 spans="1:11" ht="15.75" customHeight="1">
      <c r="A422" s="7" t="str">
        <f t="shared" si="6"/>
        <v/>
      </c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 spans="1:11" ht="15.75" customHeight="1">
      <c r="A423" s="7" t="str">
        <f t="shared" si="6"/>
        <v/>
      </c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 spans="1:11" ht="15.75" customHeight="1">
      <c r="A424" s="7" t="str">
        <f t="shared" si="6"/>
        <v/>
      </c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 spans="1:11" ht="15.75" customHeight="1">
      <c r="A425" s="7" t="str">
        <f t="shared" si="6"/>
        <v/>
      </c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 spans="1:11" ht="15.75" customHeight="1">
      <c r="A426" s="7" t="str">
        <f t="shared" si="6"/>
        <v/>
      </c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 spans="1:11" ht="15.75" customHeight="1">
      <c r="A427" s="7" t="str">
        <f t="shared" si="6"/>
        <v/>
      </c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 spans="1:11" ht="15.75" customHeight="1">
      <c r="A428" s="7" t="str">
        <f t="shared" si="6"/>
        <v/>
      </c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 spans="1:11" ht="15.75" customHeight="1">
      <c r="A429" s="7" t="str">
        <f t="shared" si="6"/>
        <v/>
      </c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 spans="1:11" ht="15.75" customHeight="1">
      <c r="A430" s="7" t="str">
        <f t="shared" si="6"/>
        <v/>
      </c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 spans="1:11" ht="15.75" customHeight="1">
      <c r="A431" s="7" t="str">
        <f t="shared" si="6"/>
        <v/>
      </c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 spans="1:11" ht="15.75" customHeight="1">
      <c r="A432" s="7" t="str">
        <f t="shared" si="6"/>
        <v/>
      </c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 spans="1:11" ht="15.75" customHeight="1">
      <c r="A433" s="7" t="str">
        <f t="shared" si="6"/>
        <v/>
      </c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 spans="1:11" ht="15.75" customHeight="1">
      <c r="A434" s="7" t="str">
        <f t="shared" si="6"/>
        <v/>
      </c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 spans="1:11" ht="15.75" customHeight="1">
      <c r="A435" s="7" t="str">
        <f t="shared" si="6"/>
        <v/>
      </c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 spans="1:11" ht="15.75" customHeight="1">
      <c r="A436" s="7" t="str">
        <f t="shared" si="6"/>
        <v/>
      </c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 spans="1:11" ht="15.75" customHeight="1">
      <c r="A437" s="7" t="str">
        <f t="shared" si="6"/>
        <v/>
      </c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 spans="1:11" ht="15.75" customHeight="1">
      <c r="A438" s="7" t="str">
        <f t="shared" si="6"/>
        <v/>
      </c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 spans="1:11" ht="15.75" customHeight="1">
      <c r="A439" s="7" t="str">
        <f t="shared" si="6"/>
        <v/>
      </c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 spans="1:11" ht="15.75" customHeight="1">
      <c r="A440" s="7" t="str">
        <f t="shared" si="6"/>
        <v/>
      </c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 spans="1:11" ht="15.75" customHeight="1">
      <c r="A441" s="7" t="str">
        <f t="shared" si="6"/>
        <v/>
      </c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 spans="1:11" ht="15.75" customHeight="1">
      <c r="A442" s="7" t="str">
        <f t="shared" si="6"/>
        <v/>
      </c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 spans="1:11" ht="15.75" customHeight="1">
      <c r="A443" s="7" t="str">
        <f t="shared" si="6"/>
        <v/>
      </c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 spans="1:11" ht="15.75" customHeight="1">
      <c r="A444" s="7" t="str">
        <f t="shared" si="6"/>
        <v/>
      </c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 spans="1:11" ht="15.75" customHeight="1">
      <c r="A445" s="7" t="str">
        <f t="shared" si="6"/>
        <v/>
      </c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 spans="1:11" ht="15.75" customHeight="1">
      <c r="A446" s="7" t="str">
        <f t="shared" si="6"/>
        <v/>
      </c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 spans="1:11" ht="15.75" customHeight="1">
      <c r="A447" s="7" t="str">
        <f t="shared" si="6"/>
        <v/>
      </c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 spans="1:11" ht="15.75" customHeight="1">
      <c r="A448" s="7" t="str">
        <f t="shared" si="6"/>
        <v/>
      </c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 spans="1:11" ht="15.75" customHeight="1">
      <c r="A449" s="7" t="str">
        <f t="shared" si="6"/>
        <v/>
      </c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 spans="1:11" ht="15.75" customHeight="1">
      <c r="A450" s="7" t="str">
        <f t="shared" si="6"/>
        <v/>
      </c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 spans="1:11" ht="15.75" customHeight="1">
      <c r="A451" s="7" t="str">
        <f t="shared" si="6"/>
        <v/>
      </c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 spans="1:11" ht="15.75" customHeight="1">
      <c r="A452" s="7" t="str">
        <f t="shared" si="6"/>
        <v/>
      </c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 spans="1:11" ht="15.75" customHeight="1">
      <c r="A453" s="7" t="str">
        <f t="shared" ref="A453:A516" si="7">IF(B453="","","EXE-"&amp;TEXT(ROW()-4,"0000"))</f>
        <v/>
      </c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 spans="1:11" ht="15.75" customHeight="1">
      <c r="A454" s="7" t="str">
        <f t="shared" si="7"/>
        <v/>
      </c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 spans="1:11" ht="15.75" customHeight="1">
      <c r="A455" s="7" t="str">
        <f t="shared" si="7"/>
        <v/>
      </c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 spans="1:11" ht="15.75" customHeight="1">
      <c r="A456" s="7" t="str">
        <f t="shared" si="7"/>
        <v/>
      </c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 spans="1:11" ht="15.75" customHeight="1">
      <c r="A457" s="7" t="str">
        <f t="shared" si="7"/>
        <v/>
      </c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 spans="1:11" ht="15.75" customHeight="1">
      <c r="A458" s="7" t="str">
        <f t="shared" si="7"/>
        <v/>
      </c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 spans="1:11" ht="15.75" customHeight="1">
      <c r="A459" s="7" t="str">
        <f t="shared" si="7"/>
        <v/>
      </c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 spans="1:11" ht="15.75" customHeight="1">
      <c r="A460" s="7" t="str">
        <f t="shared" si="7"/>
        <v/>
      </c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 spans="1:11" ht="15.75" customHeight="1">
      <c r="A461" s="7" t="str">
        <f t="shared" si="7"/>
        <v/>
      </c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 spans="1:11" ht="15.75" customHeight="1">
      <c r="A462" s="7" t="str">
        <f t="shared" si="7"/>
        <v/>
      </c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 spans="1:11" ht="15.75" customHeight="1">
      <c r="A463" s="7" t="str">
        <f t="shared" si="7"/>
        <v/>
      </c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 spans="1:11" ht="15.75" customHeight="1">
      <c r="A464" s="7" t="str">
        <f t="shared" si="7"/>
        <v/>
      </c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 spans="1:11" ht="15.75" customHeight="1">
      <c r="A465" s="7" t="str">
        <f t="shared" si="7"/>
        <v/>
      </c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 spans="1:11" ht="15.75" customHeight="1">
      <c r="A466" s="7" t="str">
        <f t="shared" si="7"/>
        <v/>
      </c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 spans="1:11" ht="15.75" customHeight="1">
      <c r="A467" s="7" t="str">
        <f t="shared" si="7"/>
        <v/>
      </c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 spans="1:11" ht="15.75" customHeight="1">
      <c r="A468" s="7" t="str">
        <f t="shared" si="7"/>
        <v/>
      </c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 spans="1:11" ht="15.75" customHeight="1">
      <c r="A469" s="7" t="str">
        <f t="shared" si="7"/>
        <v/>
      </c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 spans="1:11" ht="15.75" customHeight="1">
      <c r="A470" s="7" t="str">
        <f t="shared" si="7"/>
        <v/>
      </c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 spans="1:11" ht="15.75" customHeight="1">
      <c r="A471" s="7" t="str">
        <f t="shared" si="7"/>
        <v/>
      </c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 spans="1:11" ht="15.75" customHeight="1">
      <c r="A472" s="7" t="str">
        <f t="shared" si="7"/>
        <v/>
      </c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 spans="1:11" ht="15.75" customHeight="1">
      <c r="A473" s="7" t="str">
        <f t="shared" si="7"/>
        <v/>
      </c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 spans="1:11" ht="15.75" customHeight="1">
      <c r="A474" s="7" t="str">
        <f t="shared" si="7"/>
        <v/>
      </c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 spans="1:11" ht="15.75" customHeight="1">
      <c r="A475" s="7" t="str">
        <f t="shared" si="7"/>
        <v/>
      </c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 spans="1:11" ht="15.75" customHeight="1">
      <c r="A476" s="7" t="str">
        <f t="shared" si="7"/>
        <v/>
      </c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 spans="1:11" ht="15.75" customHeight="1">
      <c r="A477" s="7" t="str">
        <f t="shared" si="7"/>
        <v/>
      </c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 spans="1:11" ht="15.75" customHeight="1">
      <c r="A478" s="7" t="str">
        <f t="shared" si="7"/>
        <v/>
      </c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 spans="1:11" ht="15.75" customHeight="1">
      <c r="A479" s="7" t="str">
        <f t="shared" si="7"/>
        <v/>
      </c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 spans="1:11" ht="15.75" customHeight="1">
      <c r="A480" s="7" t="str">
        <f t="shared" si="7"/>
        <v/>
      </c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 spans="1:11" ht="15.75" customHeight="1">
      <c r="A481" s="7" t="str">
        <f t="shared" si="7"/>
        <v/>
      </c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 spans="1:11" ht="15.75" customHeight="1">
      <c r="A482" s="7" t="str">
        <f t="shared" si="7"/>
        <v/>
      </c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 spans="1:11" ht="15.75" customHeight="1">
      <c r="A483" s="7" t="str">
        <f t="shared" si="7"/>
        <v/>
      </c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 spans="1:11" ht="15.75" customHeight="1">
      <c r="A484" s="7" t="str">
        <f t="shared" si="7"/>
        <v/>
      </c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 spans="1:11" ht="15.75" customHeight="1">
      <c r="A485" s="7" t="str">
        <f t="shared" si="7"/>
        <v/>
      </c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 spans="1:11" ht="15.75" customHeight="1">
      <c r="A486" s="7" t="str">
        <f t="shared" si="7"/>
        <v/>
      </c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 spans="1:11" ht="15.75" customHeight="1">
      <c r="A487" s="7" t="str">
        <f t="shared" si="7"/>
        <v/>
      </c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 spans="1:11" ht="15.75" customHeight="1">
      <c r="A488" s="7" t="str">
        <f t="shared" si="7"/>
        <v/>
      </c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 spans="1:11" ht="15.75" customHeight="1">
      <c r="A489" s="7" t="str">
        <f t="shared" si="7"/>
        <v/>
      </c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 spans="1:11" ht="15.75" customHeight="1">
      <c r="A490" s="7" t="str">
        <f t="shared" si="7"/>
        <v/>
      </c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 spans="1:11" ht="15.75" customHeight="1">
      <c r="A491" s="7" t="str">
        <f t="shared" si="7"/>
        <v/>
      </c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 spans="1:11" ht="15.75" customHeight="1">
      <c r="A492" s="7" t="str">
        <f t="shared" si="7"/>
        <v/>
      </c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 spans="1:11" ht="15.75" customHeight="1">
      <c r="A493" s="7" t="str">
        <f t="shared" si="7"/>
        <v/>
      </c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 spans="1:11" ht="15.75" customHeight="1">
      <c r="A494" s="7" t="str">
        <f t="shared" si="7"/>
        <v/>
      </c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 spans="1:11" ht="15.75" customHeight="1">
      <c r="A495" s="7" t="str">
        <f t="shared" si="7"/>
        <v/>
      </c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 spans="1:11" ht="15.75" customHeight="1">
      <c r="A496" s="7" t="str">
        <f t="shared" si="7"/>
        <v/>
      </c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 spans="1:11" ht="15.75" customHeight="1">
      <c r="A497" s="7" t="str">
        <f t="shared" si="7"/>
        <v/>
      </c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 spans="1:11" ht="15.75" customHeight="1">
      <c r="A498" s="7" t="str">
        <f t="shared" si="7"/>
        <v/>
      </c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 spans="1:11" ht="15.75" customHeight="1">
      <c r="A499" s="7" t="str">
        <f t="shared" si="7"/>
        <v/>
      </c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 spans="1:11" ht="15.75" customHeight="1">
      <c r="A500" s="7" t="str">
        <f t="shared" si="7"/>
        <v/>
      </c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 spans="1:11" ht="15.75" customHeight="1">
      <c r="A501" s="7" t="str">
        <f t="shared" si="7"/>
        <v/>
      </c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 spans="1:11" ht="15.75" customHeight="1">
      <c r="A502" s="7" t="str">
        <f t="shared" si="7"/>
        <v/>
      </c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 spans="1:11" ht="15.75" customHeight="1">
      <c r="A503" s="7" t="str">
        <f t="shared" si="7"/>
        <v/>
      </c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 spans="1:11" ht="15.75" customHeight="1">
      <c r="A504" s="7" t="str">
        <f t="shared" si="7"/>
        <v/>
      </c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 spans="1:11" ht="15.75" customHeight="1">
      <c r="A505" s="7" t="str">
        <f t="shared" si="7"/>
        <v/>
      </c>
      <c r="B505" s="7"/>
      <c r="C505" s="7"/>
      <c r="D505" s="7"/>
      <c r="E505" s="7"/>
      <c r="F505" s="7"/>
      <c r="G505" s="7"/>
      <c r="H505" s="7"/>
      <c r="I505" s="7"/>
      <c r="J505" s="7"/>
      <c r="K505" s="7"/>
    </row>
    <row r="506" spans="1:11" ht="15.75" customHeight="1">
      <c r="A506" s="7" t="str">
        <f t="shared" si="7"/>
        <v/>
      </c>
      <c r="B506" s="7"/>
      <c r="C506" s="7"/>
      <c r="D506" s="7"/>
      <c r="E506" s="7"/>
      <c r="F506" s="7"/>
      <c r="G506" s="7"/>
      <c r="H506" s="7"/>
      <c r="I506" s="7"/>
      <c r="J506" s="7"/>
      <c r="K506" s="7"/>
    </row>
    <row r="507" spans="1:11" ht="15.75" customHeight="1">
      <c r="A507" s="7" t="str">
        <f t="shared" si="7"/>
        <v/>
      </c>
      <c r="B507" s="7"/>
      <c r="C507" s="7"/>
      <c r="D507" s="7"/>
      <c r="E507" s="7"/>
      <c r="F507" s="7"/>
      <c r="G507" s="7"/>
      <c r="H507" s="7"/>
      <c r="I507" s="7"/>
      <c r="J507" s="7"/>
      <c r="K507" s="7"/>
    </row>
    <row r="508" spans="1:11" ht="15.75" customHeight="1">
      <c r="A508" s="7" t="str">
        <f t="shared" si="7"/>
        <v/>
      </c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 spans="1:11" ht="15.75" customHeight="1">
      <c r="A509" s="7" t="str">
        <f t="shared" si="7"/>
        <v/>
      </c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 spans="1:11" ht="15.75" customHeight="1">
      <c r="A510" s="7" t="str">
        <f t="shared" si="7"/>
        <v/>
      </c>
      <c r="B510" s="7"/>
      <c r="C510" s="7"/>
      <c r="D510" s="7"/>
      <c r="E510" s="7"/>
      <c r="F510" s="7"/>
      <c r="G510" s="7"/>
      <c r="H510" s="7"/>
      <c r="I510" s="7"/>
      <c r="J510" s="7"/>
      <c r="K510" s="7"/>
    </row>
    <row r="511" spans="1:11" ht="15.75" customHeight="1">
      <c r="A511" s="7" t="str">
        <f t="shared" si="7"/>
        <v/>
      </c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 spans="1:11" ht="15.75" customHeight="1">
      <c r="A512" s="7" t="str">
        <f t="shared" si="7"/>
        <v/>
      </c>
      <c r="B512" s="7"/>
      <c r="C512" s="7"/>
      <c r="D512" s="7"/>
      <c r="E512" s="7"/>
      <c r="F512" s="7"/>
      <c r="G512" s="7"/>
      <c r="H512" s="7"/>
      <c r="I512" s="7"/>
      <c r="J512" s="7"/>
      <c r="K512" s="7"/>
    </row>
    <row r="513" spans="1:11" ht="15.75" customHeight="1">
      <c r="A513" s="7" t="str">
        <f t="shared" si="7"/>
        <v/>
      </c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 spans="1:11" ht="15.75" customHeight="1">
      <c r="A514" s="7" t="str">
        <f t="shared" si="7"/>
        <v/>
      </c>
      <c r="B514" s="7"/>
      <c r="C514" s="7"/>
      <c r="D514" s="7"/>
      <c r="E514" s="7"/>
      <c r="F514" s="7"/>
      <c r="G514" s="7"/>
      <c r="H514" s="7"/>
      <c r="I514" s="7"/>
      <c r="J514" s="7"/>
      <c r="K514" s="7"/>
    </row>
    <row r="515" spans="1:11" ht="15.75" customHeight="1">
      <c r="A515" s="7" t="str">
        <f t="shared" si="7"/>
        <v/>
      </c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 spans="1:11" ht="15.75" customHeight="1">
      <c r="A516" s="7" t="str">
        <f t="shared" si="7"/>
        <v/>
      </c>
      <c r="B516" s="7"/>
      <c r="C516" s="7"/>
      <c r="D516" s="7"/>
      <c r="E516" s="7"/>
      <c r="F516" s="7"/>
      <c r="G516" s="7"/>
      <c r="H516" s="7"/>
      <c r="I516" s="7"/>
      <c r="J516" s="7"/>
      <c r="K516" s="7"/>
    </row>
    <row r="517" spans="1:11" ht="15.75" customHeight="1">
      <c r="A517" s="7" t="str">
        <f t="shared" ref="A517:A580" si="8">IF(B517="","","EXE-"&amp;TEXT(ROW()-4,"0000"))</f>
        <v/>
      </c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 spans="1:11" ht="15.75" customHeight="1">
      <c r="A518" s="7" t="str">
        <f t="shared" si="8"/>
        <v/>
      </c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 spans="1:11" ht="15.75" customHeight="1">
      <c r="A519" s="7" t="str">
        <f t="shared" si="8"/>
        <v/>
      </c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 spans="1:11" ht="15.75" customHeight="1">
      <c r="A520" s="7" t="str">
        <f t="shared" si="8"/>
        <v/>
      </c>
      <c r="B520" s="7"/>
      <c r="C520" s="7"/>
      <c r="D520" s="7"/>
      <c r="E520" s="7"/>
      <c r="F520" s="7"/>
      <c r="G520" s="7"/>
      <c r="H520" s="7"/>
      <c r="I520" s="7"/>
      <c r="J520" s="7"/>
      <c r="K520" s="7"/>
    </row>
    <row r="521" spans="1:11" ht="15.75" customHeight="1">
      <c r="A521" s="7" t="str">
        <f t="shared" si="8"/>
        <v/>
      </c>
      <c r="B521" s="7"/>
      <c r="C521" s="7"/>
      <c r="D521" s="7"/>
      <c r="E521" s="7"/>
      <c r="F521" s="7"/>
      <c r="G521" s="7"/>
      <c r="H521" s="7"/>
      <c r="I521" s="7"/>
      <c r="J521" s="7"/>
      <c r="K521" s="7"/>
    </row>
    <row r="522" spans="1:11" ht="15.75" customHeight="1">
      <c r="A522" s="7" t="str">
        <f t="shared" si="8"/>
        <v/>
      </c>
      <c r="B522" s="7"/>
      <c r="C522" s="7"/>
      <c r="D522" s="7"/>
      <c r="E522" s="7"/>
      <c r="F522" s="7"/>
      <c r="G522" s="7"/>
      <c r="H522" s="7"/>
      <c r="I522" s="7"/>
      <c r="J522" s="7"/>
      <c r="K522" s="7"/>
    </row>
    <row r="523" spans="1:11" ht="15.75" customHeight="1">
      <c r="A523" s="7" t="str">
        <f t="shared" si="8"/>
        <v/>
      </c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 spans="1:11" ht="15.75" customHeight="1">
      <c r="A524" s="7" t="str">
        <f t="shared" si="8"/>
        <v/>
      </c>
      <c r="B524" s="7"/>
      <c r="C524" s="7"/>
      <c r="D524" s="7"/>
      <c r="E524" s="7"/>
      <c r="F524" s="7"/>
      <c r="G524" s="7"/>
      <c r="H524" s="7"/>
      <c r="I524" s="7"/>
      <c r="J524" s="7"/>
      <c r="K524" s="7"/>
    </row>
    <row r="525" spans="1:11" ht="15.75" customHeight="1">
      <c r="A525" s="7" t="str">
        <f t="shared" si="8"/>
        <v/>
      </c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 spans="1:11" ht="15.75" customHeight="1">
      <c r="A526" s="7" t="str">
        <f t="shared" si="8"/>
        <v/>
      </c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 spans="1:11" ht="15.75" customHeight="1">
      <c r="A527" s="7" t="str">
        <f t="shared" si="8"/>
        <v/>
      </c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 spans="1:11" ht="15.75" customHeight="1">
      <c r="A528" s="7" t="str">
        <f t="shared" si="8"/>
        <v/>
      </c>
      <c r="B528" s="7"/>
      <c r="C528" s="7"/>
      <c r="D528" s="7"/>
      <c r="E528" s="7"/>
      <c r="F528" s="7"/>
      <c r="G528" s="7"/>
      <c r="H528" s="7"/>
      <c r="I528" s="7"/>
      <c r="J528" s="7"/>
      <c r="K528" s="7"/>
    </row>
    <row r="529" spans="1:11" ht="15.75" customHeight="1">
      <c r="A529" s="7" t="str">
        <f t="shared" si="8"/>
        <v/>
      </c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 spans="1:11" ht="15.75" customHeight="1">
      <c r="A530" s="7" t="str">
        <f t="shared" si="8"/>
        <v/>
      </c>
      <c r="B530" s="7"/>
      <c r="C530" s="7"/>
      <c r="D530" s="7"/>
      <c r="E530" s="7"/>
      <c r="F530" s="7"/>
      <c r="G530" s="7"/>
      <c r="H530" s="7"/>
      <c r="I530" s="7"/>
      <c r="J530" s="7"/>
      <c r="K530" s="7"/>
    </row>
    <row r="531" spans="1:11" ht="15.75" customHeight="1">
      <c r="A531" s="7" t="str">
        <f t="shared" si="8"/>
        <v/>
      </c>
      <c r="B531" s="7"/>
      <c r="C531" s="7"/>
      <c r="D531" s="7"/>
      <c r="E531" s="7"/>
      <c r="F531" s="7"/>
      <c r="G531" s="7"/>
      <c r="H531" s="7"/>
      <c r="I531" s="7"/>
      <c r="J531" s="7"/>
      <c r="K531" s="7"/>
    </row>
    <row r="532" spans="1:11" ht="15.75" customHeight="1">
      <c r="A532" s="7" t="str">
        <f t="shared" si="8"/>
        <v/>
      </c>
      <c r="B532" s="7"/>
      <c r="C532" s="7"/>
      <c r="D532" s="7"/>
      <c r="E532" s="7"/>
      <c r="F532" s="7"/>
      <c r="G532" s="7"/>
      <c r="H532" s="7"/>
      <c r="I532" s="7"/>
      <c r="J532" s="7"/>
      <c r="K532" s="7"/>
    </row>
    <row r="533" spans="1:11" ht="15.75" customHeight="1">
      <c r="A533" s="7" t="str">
        <f t="shared" si="8"/>
        <v/>
      </c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 spans="1:11" ht="15.75" customHeight="1">
      <c r="A534" s="7" t="str">
        <f t="shared" si="8"/>
        <v/>
      </c>
      <c r="B534" s="7"/>
      <c r="C534" s="7"/>
      <c r="D534" s="7"/>
      <c r="E534" s="7"/>
      <c r="F534" s="7"/>
      <c r="G534" s="7"/>
      <c r="H534" s="7"/>
      <c r="I534" s="7"/>
      <c r="J534" s="7"/>
      <c r="K534" s="7"/>
    </row>
    <row r="535" spans="1:11" ht="15.75" customHeight="1">
      <c r="A535" s="7" t="str">
        <f t="shared" si="8"/>
        <v/>
      </c>
      <c r="B535" s="7"/>
      <c r="C535" s="7"/>
      <c r="D535" s="7"/>
      <c r="E535" s="7"/>
      <c r="F535" s="7"/>
      <c r="G535" s="7"/>
      <c r="H535" s="7"/>
      <c r="I535" s="7"/>
      <c r="J535" s="7"/>
      <c r="K535" s="7"/>
    </row>
    <row r="536" spans="1:11" ht="15.75" customHeight="1">
      <c r="A536" s="7" t="str">
        <f t="shared" si="8"/>
        <v/>
      </c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 spans="1:11" ht="15.75" customHeight="1">
      <c r="A537" s="7" t="str">
        <f t="shared" si="8"/>
        <v/>
      </c>
      <c r="B537" s="7"/>
      <c r="C537" s="7"/>
      <c r="D537" s="7"/>
      <c r="E537" s="7"/>
      <c r="F537" s="7"/>
      <c r="G537" s="7"/>
      <c r="H537" s="7"/>
      <c r="I537" s="7"/>
      <c r="J537" s="7"/>
      <c r="K537" s="7"/>
    </row>
    <row r="538" spans="1:11" ht="15.75" customHeight="1">
      <c r="A538" s="7" t="str">
        <f t="shared" si="8"/>
        <v/>
      </c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 spans="1:11" ht="15.75" customHeight="1">
      <c r="A539" s="7" t="str">
        <f t="shared" si="8"/>
        <v/>
      </c>
      <c r="B539" s="7"/>
      <c r="C539" s="7"/>
      <c r="D539" s="7"/>
      <c r="E539" s="7"/>
      <c r="F539" s="7"/>
      <c r="G539" s="7"/>
      <c r="H539" s="7"/>
      <c r="I539" s="7"/>
      <c r="J539" s="7"/>
      <c r="K539" s="7"/>
    </row>
    <row r="540" spans="1:11" ht="15.75" customHeight="1">
      <c r="A540" s="7" t="str">
        <f t="shared" si="8"/>
        <v/>
      </c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 spans="1:11" ht="15.75" customHeight="1">
      <c r="A541" s="7" t="str">
        <f t="shared" si="8"/>
        <v/>
      </c>
      <c r="B541" s="7"/>
      <c r="C541" s="7"/>
      <c r="D541" s="7"/>
      <c r="E541" s="7"/>
      <c r="F541" s="7"/>
      <c r="G541" s="7"/>
      <c r="H541" s="7"/>
      <c r="I541" s="7"/>
      <c r="J541" s="7"/>
      <c r="K541" s="7"/>
    </row>
    <row r="542" spans="1:11" ht="15.75" customHeight="1">
      <c r="A542" s="7" t="str">
        <f t="shared" si="8"/>
        <v/>
      </c>
      <c r="B542" s="7"/>
      <c r="C542" s="7"/>
      <c r="D542" s="7"/>
      <c r="E542" s="7"/>
      <c r="F542" s="7"/>
      <c r="G542" s="7"/>
      <c r="H542" s="7"/>
      <c r="I542" s="7"/>
      <c r="J542" s="7"/>
      <c r="K542" s="7"/>
    </row>
    <row r="543" spans="1:11" ht="15.75" customHeight="1">
      <c r="A543" s="7" t="str">
        <f t="shared" si="8"/>
        <v/>
      </c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 spans="1:11" ht="15.75" customHeight="1">
      <c r="A544" s="7" t="str">
        <f t="shared" si="8"/>
        <v/>
      </c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 spans="1:11" ht="15.75" customHeight="1">
      <c r="A545" s="7" t="str">
        <f t="shared" si="8"/>
        <v/>
      </c>
      <c r="B545" s="7"/>
      <c r="C545" s="7"/>
      <c r="D545" s="7"/>
      <c r="E545" s="7"/>
      <c r="F545" s="7"/>
      <c r="G545" s="7"/>
      <c r="H545" s="7"/>
      <c r="I545" s="7"/>
      <c r="J545" s="7"/>
      <c r="K545" s="7"/>
    </row>
    <row r="546" spans="1:11" ht="15.75" customHeight="1">
      <c r="A546" s="7" t="str">
        <f t="shared" si="8"/>
        <v/>
      </c>
      <c r="B546" s="7"/>
      <c r="C546" s="7"/>
      <c r="D546" s="7"/>
      <c r="E546" s="7"/>
      <c r="F546" s="7"/>
      <c r="G546" s="7"/>
      <c r="H546" s="7"/>
      <c r="I546" s="7"/>
      <c r="J546" s="7"/>
      <c r="K546" s="7"/>
    </row>
    <row r="547" spans="1:11" ht="15.75" customHeight="1">
      <c r="A547" s="7" t="str">
        <f t="shared" si="8"/>
        <v/>
      </c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 spans="1:11" ht="15.75" customHeight="1">
      <c r="A548" s="7" t="str">
        <f t="shared" si="8"/>
        <v/>
      </c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 spans="1:11" ht="15.75" customHeight="1">
      <c r="A549" s="7" t="str">
        <f t="shared" si="8"/>
        <v/>
      </c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 spans="1:11" ht="15.75" customHeight="1">
      <c r="A550" s="7" t="str">
        <f t="shared" si="8"/>
        <v/>
      </c>
      <c r="B550" s="7"/>
      <c r="C550" s="7"/>
      <c r="D550" s="7"/>
      <c r="E550" s="7"/>
      <c r="F550" s="7"/>
      <c r="G550" s="7"/>
      <c r="H550" s="7"/>
      <c r="I550" s="7"/>
      <c r="J550" s="7"/>
      <c r="K550" s="7"/>
    </row>
    <row r="551" spans="1:11" ht="15.75" customHeight="1">
      <c r="A551" s="7" t="str">
        <f t="shared" si="8"/>
        <v/>
      </c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 spans="1:11" ht="15.75" customHeight="1">
      <c r="A552" s="7" t="str">
        <f t="shared" si="8"/>
        <v/>
      </c>
      <c r="B552" s="7"/>
      <c r="C552" s="7"/>
      <c r="D552" s="7"/>
      <c r="E552" s="7"/>
      <c r="F552" s="7"/>
      <c r="G552" s="7"/>
      <c r="H552" s="7"/>
      <c r="I552" s="7"/>
      <c r="J552" s="7"/>
      <c r="K552" s="7"/>
    </row>
    <row r="553" spans="1:11" ht="15.75" customHeight="1">
      <c r="A553" s="7" t="str">
        <f t="shared" si="8"/>
        <v/>
      </c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 spans="1:11" ht="15.75" customHeight="1">
      <c r="A554" s="7" t="str">
        <f t="shared" si="8"/>
        <v/>
      </c>
      <c r="B554" s="7"/>
      <c r="C554" s="7"/>
      <c r="D554" s="7"/>
      <c r="E554" s="7"/>
      <c r="F554" s="7"/>
      <c r="G554" s="7"/>
      <c r="H554" s="7"/>
      <c r="I554" s="7"/>
      <c r="J554" s="7"/>
      <c r="K554" s="7"/>
    </row>
    <row r="555" spans="1:11" ht="15.75" customHeight="1">
      <c r="A555" s="7" t="str">
        <f t="shared" si="8"/>
        <v/>
      </c>
      <c r="B555" s="7"/>
      <c r="C555" s="7"/>
      <c r="D555" s="7"/>
      <c r="E555" s="7"/>
      <c r="F555" s="7"/>
      <c r="G555" s="7"/>
      <c r="H555" s="7"/>
      <c r="I555" s="7"/>
      <c r="J555" s="7"/>
      <c r="K555" s="7"/>
    </row>
    <row r="556" spans="1:11" ht="15.75" customHeight="1">
      <c r="A556" s="7" t="str">
        <f t="shared" si="8"/>
        <v/>
      </c>
      <c r="B556" s="7"/>
      <c r="C556" s="7"/>
      <c r="D556" s="7"/>
      <c r="E556" s="7"/>
      <c r="F556" s="7"/>
      <c r="G556" s="7"/>
      <c r="H556" s="7"/>
      <c r="I556" s="7"/>
      <c r="J556" s="7"/>
      <c r="K556" s="7"/>
    </row>
    <row r="557" spans="1:11" ht="15.75" customHeight="1">
      <c r="A557" s="7" t="str">
        <f t="shared" si="8"/>
        <v/>
      </c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 spans="1:11" ht="15.75" customHeight="1">
      <c r="A558" s="7" t="str">
        <f t="shared" si="8"/>
        <v/>
      </c>
      <c r="B558" s="7"/>
      <c r="C558" s="7"/>
      <c r="D558" s="7"/>
      <c r="E558" s="7"/>
      <c r="F558" s="7"/>
      <c r="G558" s="7"/>
      <c r="H558" s="7"/>
      <c r="I558" s="7"/>
      <c r="J558" s="7"/>
      <c r="K558" s="7"/>
    </row>
    <row r="559" spans="1:11" ht="15.75" customHeight="1">
      <c r="A559" s="7" t="str">
        <f t="shared" si="8"/>
        <v/>
      </c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 spans="1:11" ht="15.75" customHeight="1">
      <c r="A560" s="7" t="str">
        <f t="shared" si="8"/>
        <v/>
      </c>
      <c r="B560" s="7"/>
      <c r="C560" s="7"/>
      <c r="D560" s="7"/>
      <c r="E560" s="7"/>
      <c r="F560" s="7"/>
      <c r="G560" s="7"/>
      <c r="H560" s="7"/>
      <c r="I560" s="7"/>
      <c r="J560" s="7"/>
      <c r="K560" s="7"/>
    </row>
    <row r="561" spans="1:11" ht="15.75" customHeight="1">
      <c r="A561" s="7" t="str">
        <f t="shared" si="8"/>
        <v/>
      </c>
      <c r="B561" s="7"/>
      <c r="C561" s="7"/>
      <c r="D561" s="7"/>
      <c r="E561" s="7"/>
      <c r="F561" s="7"/>
      <c r="G561" s="7"/>
      <c r="H561" s="7"/>
      <c r="I561" s="7"/>
      <c r="J561" s="7"/>
      <c r="K561" s="7"/>
    </row>
    <row r="562" spans="1:11" ht="15.75" customHeight="1">
      <c r="A562" s="7" t="str">
        <f t="shared" si="8"/>
        <v/>
      </c>
      <c r="B562" s="7"/>
      <c r="C562" s="7"/>
      <c r="D562" s="7"/>
      <c r="E562" s="7"/>
      <c r="F562" s="7"/>
      <c r="G562" s="7"/>
      <c r="H562" s="7"/>
      <c r="I562" s="7"/>
      <c r="J562" s="7"/>
      <c r="K562" s="7"/>
    </row>
    <row r="563" spans="1:11" ht="15.75" customHeight="1">
      <c r="A563" s="7" t="str">
        <f t="shared" si="8"/>
        <v/>
      </c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 spans="1:11" ht="15.75" customHeight="1">
      <c r="A564" s="7" t="str">
        <f t="shared" si="8"/>
        <v/>
      </c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 spans="1:11" ht="15.75" customHeight="1">
      <c r="A565" s="7" t="str">
        <f t="shared" si="8"/>
        <v/>
      </c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 spans="1:11" ht="15.75" customHeight="1">
      <c r="A566" s="7" t="str">
        <f t="shared" si="8"/>
        <v/>
      </c>
      <c r="B566" s="7"/>
      <c r="C566" s="7"/>
      <c r="D566" s="7"/>
      <c r="E566" s="7"/>
      <c r="F566" s="7"/>
      <c r="G566" s="7"/>
      <c r="H566" s="7"/>
      <c r="I566" s="7"/>
      <c r="J566" s="7"/>
      <c r="K566" s="7"/>
    </row>
    <row r="567" spans="1:11" ht="15.75" customHeight="1">
      <c r="A567" s="7" t="str">
        <f t="shared" si="8"/>
        <v/>
      </c>
      <c r="B567" s="7"/>
      <c r="C567" s="7"/>
      <c r="D567" s="7"/>
      <c r="E567" s="7"/>
      <c r="F567" s="7"/>
      <c r="G567" s="7"/>
      <c r="H567" s="7"/>
      <c r="I567" s="7"/>
      <c r="J567" s="7"/>
      <c r="K567" s="7"/>
    </row>
    <row r="568" spans="1:11" ht="15.75" customHeight="1">
      <c r="A568" s="7" t="str">
        <f t="shared" si="8"/>
        <v/>
      </c>
      <c r="B568" s="7"/>
      <c r="C568" s="7"/>
      <c r="D568" s="7"/>
      <c r="E568" s="7"/>
      <c r="F568" s="7"/>
      <c r="G568" s="7"/>
      <c r="H568" s="7"/>
      <c r="I568" s="7"/>
      <c r="J568" s="7"/>
      <c r="K568" s="7"/>
    </row>
    <row r="569" spans="1:11" ht="15.75" customHeight="1">
      <c r="A569" s="7" t="str">
        <f t="shared" si="8"/>
        <v/>
      </c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 spans="1:11" ht="15.75" customHeight="1">
      <c r="A570" s="7" t="str">
        <f t="shared" si="8"/>
        <v/>
      </c>
      <c r="B570" s="7"/>
      <c r="C570" s="7"/>
      <c r="D570" s="7"/>
      <c r="E570" s="7"/>
      <c r="F570" s="7"/>
      <c r="G570" s="7"/>
      <c r="H570" s="7"/>
      <c r="I570" s="7"/>
      <c r="J570" s="7"/>
      <c r="K570" s="7"/>
    </row>
    <row r="571" spans="1:11" ht="15.75" customHeight="1">
      <c r="A571" s="7" t="str">
        <f t="shared" si="8"/>
        <v/>
      </c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 spans="1:11" ht="15.75" customHeight="1">
      <c r="A572" s="7" t="str">
        <f t="shared" si="8"/>
        <v/>
      </c>
      <c r="B572" s="7"/>
      <c r="C572" s="7"/>
      <c r="D572" s="7"/>
      <c r="E572" s="7"/>
      <c r="F572" s="7"/>
      <c r="G572" s="7"/>
      <c r="H572" s="7"/>
      <c r="I572" s="7"/>
      <c r="J572" s="7"/>
      <c r="K572" s="7"/>
    </row>
    <row r="573" spans="1:11" ht="15.75" customHeight="1">
      <c r="A573" s="7" t="str">
        <f t="shared" si="8"/>
        <v/>
      </c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 spans="1:11" ht="15.75" customHeight="1">
      <c r="A574" s="7" t="str">
        <f t="shared" si="8"/>
        <v/>
      </c>
      <c r="B574" s="7"/>
      <c r="C574" s="7"/>
      <c r="D574" s="7"/>
      <c r="E574" s="7"/>
      <c r="F574" s="7"/>
      <c r="G574" s="7"/>
      <c r="H574" s="7"/>
      <c r="I574" s="7"/>
      <c r="J574" s="7"/>
      <c r="K574" s="7"/>
    </row>
    <row r="575" spans="1:11" ht="15.75" customHeight="1">
      <c r="A575" s="7" t="str">
        <f t="shared" si="8"/>
        <v/>
      </c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 spans="1:11" ht="15.75" customHeight="1">
      <c r="A576" s="7" t="str">
        <f t="shared" si="8"/>
        <v/>
      </c>
      <c r="B576" s="7"/>
      <c r="C576" s="7"/>
      <c r="D576" s="7"/>
      <c r="E576" s="7"/>
      <c r="F576" s="7"/>
      <c r="G576" s="7"/>
      <c r="H576" s="7"/>
      <c r="I576" s="7"/>
      <c r="J576" s="7"/>
      <c r="K576" s="7"/>
    </row>
    <row r="577" spans="1:11" ht="15.75" customHeight="1">
      <c r="A577" s="7" t="str">
        <f t="shared" si="8"/>
        <v/>
      </c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 spans="1:11" ht="15.75" customHeight="1">
      <c r="A578" s="7" t="str">
        <f t="shared" si="8"/>
        <v/>
      </c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 spans="1:11" ht="15.75" customHeight="1">
      <c r="A579" s="7" t="str">
        <f t="shared" si="8"/>
        <v/>
      </c>
      <c r="B579" s="7"/>
      <c r="C579" s="7"/>
      <c r="D579" s="7"/>
      <c r="E579" s="7"/>
      <c r="F579" s="7"/>
      <c r="G579" s="7"/>
      <c r="H579" s="7"/>
      <c r="I579" s="7"/>
      <c r="J579" s="7"/>
      <c r="K579" s="7"/>
    </row>
    <row r="580" spans="1:11" ht="15.75" customHeight="1">
      <c r="A580" s="7" t="str">
        <f t="shared" si="8"/>
        <v/>
      </c>
      <c r="B580" s="7"/>
      <c r="C580" s="7"/>
      <c r="D580" s="7"/>
      <c r="E580" s="7"/>
      <c r="F580" s="7"/>
      <c r="G580" s="7"/>
      <c r="H580" s="7"/>
      <c r="I580" s="7"/>
      <c r="J580" s="7"/>
      <c r="K580" s="7"/>
    </row>
    <row r="581" spans="1:11" ht="15.75" customHeight="1">
      <c r="A581" s="7" t="str">
        <f t="shared" ref="A581:A644" si="9">IF(B581="","","EXE-"&amp;TEXT(ROW()-4,"0000"))</f>
        <v/>
      </c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 spans="1:11" ht="15.75" customHeight="1">
      <c r="A582" s="7" t="str">
        <f t="shared" si="9"/>
        <v/>
      </c>
      <c r="B582" s="7"/>
      <c r="C582" s="7"/>
      <c r="D582" s="7"/>
      <c r="E582" s="7"/>
      <c r="F582" s="7"/>
      <c r="G582" s="7"/>
      <c r="H582" s="7"/>
      <c r="I582" s="7"/>
      <c r="J582" s="7"/>
      <c r="K582" s="7"/>
    </row>
    <row r="583" spans="1:11" ht="15.75" customHeight="1">
      <c r="A583" s="7" t="str">
        <f t="shared" si="9"/>
        <v/>
      </c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 spans="1:11" ht="15.75" customHeight="1">
      <c r="A584" s="7" t="str">
        <f t="shared" si="9"/>
        <v/>
      </c>
      <c r="B584" s="7"/>
      <c r="C584" s="7"/>
      <c r="D584" s="7"/>
      <c r="E584" s="7"/>
      <c r="F584" s="7"/>
      <c r="G584" s="7"/>
      <c r="H584" s="7"/>
      <c r="I584" s="7"/>
      <c r="J584" s="7"/>
      <c r="K584" s="7"/>
    </row>
    <row r="585" spans="1:11" ht="15.75" customHeight="1">
      <c r="A585" s="7" t="str">
        <f t="shared" si="9"/>
        <v/>
      </c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 spans="1:11" ht="15.75" customHeight="1">
      <c r="A586" s="7" t="str">
        <f t="shared" si="9"/>
        <v/>
      </c>
      <c r="B586" s="7"/>
      <c r="C586" s="7"/>
      <c r="D586" s="7"/>
      <c r="E586" s="7"/>
      <c r="F586" s="7"/>
      <c r="G586" s="7"/>
      <c r="H586" s="7"/>
      <c r="I586" s="7"/>
      <c r="J586" s="7"/>
      <c r="K586" s="7"/>
    </row>
    <row r="587" spans="1:11" ht="15.75" customHeight="1">
      <c r="A587" s="7" t="str">
        <f t="shared" si="9"/>
        <v/>
      </c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 spans="1:11" ht="15.75" customHeight="1">
      <c r="A588" s="7" t="str">
        <f t="shared" si="9"/>
        <v/>
      </c>
      <c r="B588" s="7"/>
      <c r="C588" s="7"/>
      <c r="D588" s="7"/>
      <c r="E588" s="7"/>
      <c r="F588" s="7"/>
      <c r="G588" s="7"/>
      <c r="H588" s="7"/>
      <c r="I588" s="7"/>
      <c r="J588" s="7"/>
      <c r="K588" s="7"/>
    </row>
    <row r="589" spans="1:11" ht="15.75" customHeight="1">
      <c r="A589" s="7" t="str">
        <f t="shared" si="9"/>
        <v/>
      </c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 spans="1:11" ht="15.75" customHeight="1">
      <c r="A590" s="7" t="str">
        <f t="shared" si="9"/>
        <v/>
      </c>
      <c r="B590" s="7"/>
      <c r="C590" s="7"/>
      <c r="D590" s="7"/>
      <c r="E590" s="7"/>
      <c r="F590" s="7"/>
      <c r="G590" s="7"/>
      <c r="H590" s="7"/>
      <c r="I590" s="7"/>
      <c r="J590" s="7"/>
      <c r="K590" s="7"/>
    </row>
    <row r="591" spans="1:11" ht="15.75" customHeight="1">
      <c r="A591" s="7" t="str">
        <f t="shared" si="9"/>
        <v/>
      </c>
      <c r="B591" s="7"/>
      <c r="C591" s="7"/>
      <c r="D591" s="7"/>
      <c r="E591" s="7"/>
      <c r="F591" s="7"/>
      <c r="G591" s="7"/>
      <c r="H591" s="7"/>
      <c r="I591" s="7"/>
      <c r="J591" s="7"/>
      <c r="K591" s="7"/>
    </row>
    <row r="592" spans="1:11" ht="15.75" customHeight="1">
      <c r="A592" s="7" t="str">
        <f t="shared" si="9"/>
        <v/>
      </c>
      <c r="B592" s="7"/>
      <c r="C592" s="7"/>
      <c r="D592" s="7"/>
      <c r="E592" s="7"/>
      <c r="F592" s="7"/>
      <c r="G592" s="7"/>
      <c r="H592" s="7"/>
      <c r="I592" s="7"/>
      <c r="J592" s="7"/>
      <c r="K592" s="7"/>
    </row>
    <row r="593" spans="1:11" ht="15.75" customHeight="1">
      <c r="A593" s="7" t="str">
        <f t="shared" si="9"/>
        <v/>
      </c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 spans="1:11" ht="15.75" customHeight="1">
      <c r="A594" s="7" t="str">
        <f t="shared" si="9"/>
        <v/>
      </c>
      <c r="B594" s="7"/>
      <c r="C594" s="7"/>
      <c r="D594" s="7"/>
      <c r="E594" s="7"/>
      <c r="F594" s="7"/>
      <c r="G594" s="7"/>
      <c r="H594" s="7"/>
      <c r="I594" s="7"/>
      <c r="J594" s="7"/>
      <c r="K594" s="7"/>
    </row>
    <row r="595" spans="1:11" ht="15.75" customHeight="1">
      <c r="A595" s="7" t="str">
        <f t="shared" si="9"/>
        <v/>
      </c>
      <c r="B595" s="7"/>
      <c r="C595" s="7"/>
      <c r="D595" s="7"/>
      <c r="E595" s="7"/>
      <c r="F595" s="7"/>
      <c r="G595" s="7"/>
      <c r="H595" s="7"/>
      <c r="I595" s="7"/>
      <c r="J595" s="7"/>
      <c r="K595" s="7"/>
    </row>
    <row r="596" spans="1:11" ht="15.75" customHeight="1">
      <c r="A596" s="7" t="str">
        <f t="shared" si="9"/>
        <v/>
      </c>
      <c r="B596" s="7"/>
      <c r="C596" s="7"/>
      <c r="D596" s="7"/>
      <c r="E596" s="7"/>
      <c r="F596" s="7"/>
      <c r="G596" s="7"/>
      <c r="H596" s="7"/>
      <c r="I596" s="7"/>
      <c r="J596" s="7"/>
      <c r="K596" s="7"/>
    </row>
    <row r="597" spans="1:11" ht="15.75" customHeight="1">
      <c r="A597" s="7" t="str">
        <f t="shared" si="9"/>
        <v/>
      </c>
      <c r="B597" s="7"/>
      <c r="C597" s="7"/>
      <c r="D597" s="7"/>
      <c r="E597" s="7"/>
      <c r="F597" s="7"/>
      <c r="G597" s="7"/>
      <c r="H597" s="7"/>
      <c r="I597" s="7"/>
      <c r="J597" s="7"/>
      <c r="K597" s="7"/>
    </row>
    <row r="598" spans="1:11" ht="15.75" customHeight="1">
      <c r="A598" s="7" t="str">
        <f t="shared" si="9"/>
        <v/>
      </c>
      <c r="B598" s="7"/>
      <c r="C598" s="7"/>
      <c r="D598" s="7"/>
      <c r="E598" s="7"/>
      <c r="F598" s="7"/>
      <c r="G598" s="7"/>
      <c r="H598" s="7"/>
      <c r="I598" s="7"/>
      <c r="J598" s="7"/>
      <c r="K598" s="7"/>
    </row>
    <row r="599" spans="1:11" ht="15.75" customHeight="1">
      <c r="A599" s="7" t="str">
        <f t="shared" si="9"/>
        <v/>
      </c>
      <c r="B599" s="7"/>
      <c r="C599" s="7"/>
      <c r="D599" s="7"/>
      <c r="E599" s="7"/>
      <c r="F599" s="7"/>
      <c r="G599" s="7"/>
      <c r="H599" s="7"/>
      <c r="I599" s="7"/>
      <c r="J599" s="7"/>
      <c r="K599" s="7"/>
    </row>
    <row r="600" spans="1:11" ht="15.75" customHeight="1">
      <c r="A600" s="7" t="str">
        <f t="shared" si="9"/>
        <v/>
      </c>
      <c r="B600" s="7"/>
      <c r="C600" s="7"/>
      <c r="D600" s="7"/>
      <c r="E600" s="7"/>
      <c r="F600" s="7"/>
      <c r="G600" s="7"/>
      <c r="H600" s="7"/>
      <c r="I600" s="7"/>
      <c r="J600" s="7"/>
      <c r="K600" s="7"/>
    </row>
    <row r="601" spans="1:11" ht="15.75" customHeight="1">
      <c r="A601" s="7" t="str">
        <f t="shared" si="9"/>
        <v/>
      </c>
      <c r="B601" s="7"/>
      <c r="C601" s="7"/>
      <c r="D601" s="7"/>
      <c r="E601" s="7"/>
      <c r="F601" s="7"/>
      <c r="G601" s="7"/>
      <c r="H601" s="7"/>
      <c r="I601" s="7"/>
      <c r="J601" s="7"/>
      <c r="K601" s="7"/>
    </row>
    <row r="602" spans="1:11" ht="15.75" customHeight="1">
      <c r="A602" s="7" t="str">
        <f t="shared" si="9"/>
        <v/>
      </c>
      <c r="B602" s="7"/>
      <c r="C602" s="7"/>
      <c r="D602" s="7"/>
      <c r="E602" s="7"/>
      <c r="F602" s="7"/>
      <c r="G602" s="7"/>
      <c r="H602" s="7"/>
      <c r="I602" s="7"/>
      <c r="J602" s="7"/>
      <c r="K602" s="7"/>
    </row>
    <row r="603" spans="1:11" ht="15.75" customHeight="1">
      <c r="A603" s="7" t="str">
        <f t="shared" si="9"/>
        <v/>
      </c>
      <c r="B603" s="7"/>
      <c r="C603" s="7"/>
      <c r="D603" s="7"/>
      <c r="E603" s="7"/>
      <c r="F603" s="7"/>
      <c r="G603" s="7"/>
      <c r="H603" s="7"/>
      <c r="I603" s="7"/>
      <c r="J603" s="7"/>
      <c r="K603" s="7"/>
    </row>
    <row r="604" spans="1:11" ht="15.75" customHeight="1">
      <c r="A604" s="7" t="str">
        <f t="shared" si="9"/>
        <v/>
      </c>
      <c r="B604" s="7"/>
      <c r="C604" s="7"/>
      <c r="D604" s="7"/>
      <c r="E604" s="7"/>
      <c r="F604" s="7"/>
      <c r="G604" s="7"/>
      <c r="H604" s="7"/>
      <c r="I604" s="7"/>
      <c r="J604" s="7"/>
      <c r="K604" s="7"/>
    </row>
    <row r="605" spans="1:11" ht="15.75" customHeight="1">
      <c r="A605" s="7" t="str">
        <f t="shared" si="9"/>
        <v/>
      </c>
      <c r="B605" s="7"/>
      <c r="C605" s="7"/>
      <c r="D605" s="7"/>
      <c r="E605" s="7"/>
      <c r="F605" s="7"/>
      <c r="G605" s="7"/>
      <c r="H605" s="7"/>
      <c r="I605" s="7"/>
      <c r="J605" s="7"/>
      <c r="K605" s="7"/>
    </row>
    <row r="606" spans="1:11" ht="15.75" customHeight="1">
      <c r="A606" s="7" t="str">
        <f t="shared" si="9"/>
        <v/>
      </c>
      <c r="B606" s="7"/>
      <c r="C606" s="7"/>
      <c r="D606" s="7"/>
      <c r="E606" s="7"/>
      <c r="F606" s="7"/>
      <c r="G606" s="7"/>
      <c r="H606" s="7"/>
      <c r="I606" s="7"/>
      <c r="J606" s="7"/>
      <c r="K606" s="7"/>
    </row>
    <row r="607" spans="1:11" ht="15.75" customHeight="1">
      <c r="A607" s="7" t="str">
        <f t="shared" si="9"/>
        <v/>
      </c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 spans="1:11" ht="15.75" customHeight="1">
      <c r="A608" s="7" t="str">
        <f t="shared" si="9"/>
        <v/>
      </c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 spans="1:11" ht="15.75" customHeight="1">
      <c r="A609" s="7" t="str">
        <f t="shared" si="9"/>
        <v/>
      </c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 spans="1:11" ht="15.75" customHeight="1">
      <c r="A610" s="7" t="str">
        <f t="shared" si="9"/>
        <v/>
      </c>
      <c r="B610" s="7"/>
      <c r="C610" s="7"/>
      <c r="D610" s="7"/>
      <c r="E610" s="7"/>
      <c r="F610" s="7"/>
      <c r="G610" s="7"/>
      <c r="H610" s="7"/>
      <c r="I610" s="7"/>
      <c r="J610" s="7"/>
      <c r="K610" s="7"/>
    </row>
    <row r="611" spans="1:11" ht="15.75" customHeight="1">
      <c r="A611" s="7" t="str">
        <f t="shared" si="9"/>
        <v/>
      </c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 spans="1:11" ht="15.75" customHeight="1">
      <c r="A612" s="7" t="str">
        <f t="shared" si="9"/>
        <v/>
      </c>
      <c r="B612" s="7"/>
      <c r="C612" s="7"/>
      <c r="D612" s="7"/>
      <c r="E612" s="7"/>
      <c r="F612" s="7"/>
      <c r="G612" s="7"/>
      <c r="H612" s="7"/>
      <c r="I612" s="7"/>
      <c r="J612" s="7"/>
      <c r="K612" s="7"/>
    </row>
    <row r="613" spans="1:11" ht="15.75" customHeight="1">
      <c r="A613" s="7" t="str">
        <f t="shared" si="9"/>
        <v/>
      </c>
      <c r="B613" s="7"/>
      <c r="C613" s="7"/>
      <c r="D613" s="7"/>
      <c r="E613" s="7"/>
      <c r="F613" s="7"/>
      <c r="G613" s="7"/>
      <c r="H613" s="7"/>
      <c r="I613" s="7"/>
      <c r="J613" s="7"/>
      <c r="K613" s="7"/>
    </row>
    <row r="614" spans="1:11" ht="15.75" customHeight="1">
      <c r="A614" s="7" t="str">
        <f t="shared" si="9"/>
        <v/>
      </c>
      <c r="B614" s="7"/>
      <c r="C614" s="7"/>
      <c r="D614" s="7"/>
      <c r="E614" s="7"/>
      <c r="F614" s="7"/>
      <c r="G614" s="7"/>
      <c r="H614" s="7"/>
      <c r="I614" s="7"/>
      <c r="J614" s="7"/>
      <c r="K614" s="7"/>
    </row>
    <row r="615" spans="1:11" ht="15.75" customHeight="1">
      <c r="A615" s="7" t="str">
        <f t="shared" si="9"/>
        <v/>
      </c>
      <c r="B615" s="7"/>
      <c r="C615" s="7"/>
      <c r="D615" s="7"/>
      <c r="E615" s="7"/>
      <c r="F615" s="7"/>
      <c r="G615" s="7"/>
      <c r="H615" s="7"/>
      <c r="I615" s="7"/>
      <c r="J615" s="7"/>
      <c r="K615" s="7"/>
    </row>
    <row r="616" spans="1:11" ht="15.75" customHeight="1">
      <c r="A616" s="7" t="str">
        <f t="shared" si="9"/>
        <v/>
      </c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 spans="1:11" ht="15.75" customHeight="1">
      <c r="A617" s="7" t="str">
        <f t="shared" si="9"/>
        <v/>
      </c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 spans="1:11" ht="15.75" customHeight="1">
      <c r="A618" s="7" t="str">
        <f t="shared" si="9"/>
        <v/>
      </c>
      <c r="B618" s="7"/>
      <c r="C618" s="7"/>
      <c r="D618" s="7"/>
      <c r="E618" s="7"/>
      <c r="F618" s="7"/>
      <c r="G618" s="7"/>
      <c r="H618" s="7"/>
      <c r="I618" s="7"/>
      <c r="J618" s="7"/>
      <c r="K618" s="7"/>
    </row>
    <row r="619" spans="1:11" ht="15.75" customHeight="1">
      <c r="A619" s="7" t="str">
        <f t="shared" si="9"/>
        <v/>
      </c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 spans="1:11" ht="15.75" customHeight="1">
      <c r="A620" s="7" t="str">
        <f t="shared" si="9"/>
        <v/>
      </c>
      <c r="B620" s="7"/>
      <c r="C620" s="7"/>
      <c r="D620" s="7"/>
      <c r="E620" s="7"/>
      <c r="F620" s="7"/>
      <c r="G620" s="7"/>
      <c r="H620" s="7"/>
      <c r="I620" s="7"/>
      <c r="J620" s="7"/>
      <c r="K620" s="7"/>
    </row>
    <row r="621" spans="1:11" ht="15.75" customHeight="1">
      <c r="A621" s="7" t="str">
        <f t="shared" si="9"/>
        <v/>
      </c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 spans="1:11" ht="15.75" customHeight="1">
      <c r="A622" s="7" t="str">
        <f t="shared" si="9"/>
        <v/>
      </c>
      <c r="B622" s="7"/>
      <c r="C622" s="7"/>
      <c r="D622" s="7"/>
      <c r="E622" s="7"/>
      <c r="F622" s="7"/>
      <c r="G622" s="7"/>
      <c r="H622" s="7"/>
      <c r="I622" s="7"/>
      <c r="J622" s="7"/>
      <c r="K622" s="7"/>
    </row>
    <row r="623" spans="1:11" ht="15.75" customHeight="1">
      <c r="A623" s="7" t="str">
        <f t="shared" si="9"/>
        <v/>
      </c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 spans="1:11" ht="15.75" customHeight="1">
      <c r="A624" s="7" t="str">
        <f t="shared" si="9"/>
        <v/>
      </c>
      <c r="B624" s="7"/>
      <c r="C624" s="7"/>
      <c r="D624" s="7"/>
      <c r="E624" s="7"/>
      <c r="F624" s="7"/>
      <c r="G624" s="7"/>
      <c r="H624" s="7"/>
      <c r="I624" s="7"/>
      <c r="J624" s="7"/>
      <c r="K624" s="7"/>
    </row>
    <row r="625" spans="1:11" ht="15.75" customHeight="1">
      <c r="A625" s="7" t="str">
        <f t="shared" si="9"/>
        <v/>
      </c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 spans="1:11" ht="15.75" customHeight="1">
      <c r="A626" s="7" t="str">
        <f t="shared" si="9"/>
        <v/>
      </c>
      <c r="B626" s="7"/>
      <c r="C626" s="7"/>
      <c r="D626" s="7"/>
      <c r="E626" s="7"/>
      <c r="F626" s="7"/>
      <c r="G626" s="7"/>
      <c r="H626" s="7"/>
      <c r="I626" s="7"/>
      <c r="J626" s="7"/>
      <c r="K626" s="7"/>
    </row>
    <row r="627" spans="1:11" ht="15.75" customHeight="1">
      <c r="A627" s="7" t="str">
        <f t="shared" si="9"/>
        <v/>
      </c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 spans="1:11" ht="15.75" customHeight="1">
      <c r="A628" s="7" t="str">
        <f t="shared" si="9"/>
        <v/>
      </c>
      <c r="B628" s="7"/>
      <c r="C628" s="7"/>
      <c r="D628" s="7"/>
      <c r="E628" s="7"/>
      <c r="F628" s="7"/>
      <c r="G628" s="7"/>
      <c r="H628" s="7"/>
      <c r="I628" s="7"/>
      <c r="J628" s="7"/>
      <c r="K628" s="7"/>
    </row>
    <row r="629" spans="1:11" ht="15.75" customHeight="1">
      <c r="A629" s="7" t="str">
        <f t="shared" si="9"/>
        <v/>
      </c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 spans="1:11" ht="15.75" customHeight="1">
      <c r="A630" s="7" t="str">
        <f t="shared" si="9"/>
        <v/>
      </c>
      <c r="B630" s="7"/>
      <c r="C630" s="7"/>
      <c r="D630" s="7"/>
      <c r="E630" s="7"/>
      <c r="F630" s="7"/>
      <c r="G630" s="7"/>
      <c r="H630" s="7"/>
      <c r="I630" s="7"/>
      <c r="J630" s="7"/>
      <c r="K630" s="7"/>
    </row>
    <row r="631" spans="1:11" ht="15.75" customHeight="1">
      <c r="A631" s="7" t="str">
        <f t="shared" si="9"/>
        <v/>
      </c>
      <c r="B631" s="7"/>
      <c r="C631" s="7"/>
      <c r="D631" s="7"/>
      <c r="E631" s="7"/>
      <c r="F631" s="7"/>
      <c r="G631" s="7"/>
      <c r="H631" s="7"/>
      <c r="I631" s="7"/>
      <c r="J631" s="7"/>
      <c r="K631" s="7"/>
    </row>
    <row r="632" spans="1:11" ht="15.75" customHeight="1">
      <c r="A632" s="7" t="str">
        <f t="shared" si="9"/>
        <v/>
      </c>
      <c r="B632" s="7"/>
      <c r="C632" s="7"/>
      <c r="D632" s="7"/>
      <c r="E632" s="7"/>
      <c r="F632" s="7"/>
      <c r="G632" s="7"/>
      <c r="H632" s="7"/>
      <c r="I632" s="7"/>
      <c r="J632" s="7"/>
      <c r="K632" s="7"/>
    </row>
    <row r="633" spans="1:11" ht="15.75" customHeight="1">
      <c r="A633" s="7" t="str">
        <f t="shared" si="9"/>
        <v/>
      </c>
      <c r="B633" s="7"/>
      <c r="C633" s="7"/>
      <c r="D633" s="7"/>
      <c r="E633" s="7"/>
      <c r="F633" s="7"/>
      <c r="G633" s="7"/>
      <c r="H633" s="7"/>
      <c r="I633" s="7"/>
      <c r="J633" s="7"/>
      <c r="K633" s="7"/>
    </row>
    <row r="634" spans="1:11" ht="15.75" customHeight="1">
      <c r="A634" s="7" t="str">
        <f t="shared" si="9"/>
        <v/>
      </c>
      <c r="B634" s="7"/>
      <c r="C634" s="7"/>
      <c r="D634" s="7"/>
      <c r="E634" s="7"/>
      <c r="F634" s="7"/>
      <c r="G634" s="7"/>
      <c r="H634" s="7"/>
      <c r="I634" s="7"/>
      <c r="J634" s="7"/>
      <c r="K634" s="7"/>
    </row>
    <row r="635" spans="1:11" ht="15.75" customHeight="1">
      <c r="A635" s="7" t="str">
        <f t="shared" si="9"/>
        <v/>
      </c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 spans="1:11" ht="15.75" customHeight="1">
      <c r="A636" s="7" t="str">
        <f t="shared" si="9"/>
        <v/>
      </c>
      <c r="B636" s="7"/>
      <c r="C636" s="7"/>
      <c r="D636" s="7"/>
      <c r="E636" s="7"/>
      <c r="F636" s="7"/>
      <c r="G636" s="7"/>
      <c r="H636" s="7"/>
      <c r="I636" s="7"/>
      <c r="J636" s="7"/>
      <c r="K636" s="7"/>
    </row>
    <row r="637" spans="1:11" ht="15.75" customHeight="1">
      <c r="A637" s="7" t="str">
        <f t="shared" si="9"/>
        <v/>
      </c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 spans="1:11" ht="15.75" customHeight="1">
      <c r="A638" s="7" t="str">
        <f t="shared" si="9"/>
        <v/>
      </c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 spans="1:11" ht="15.75" customHeight="1">
      <c r="A639" s="7" t="str">
        <f t="shared" si="9"/>
        <v/>
      </c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 spans="1:11" ht="15.75" customHeight="1">
      <c r="A640" s="7" t="str">
        <f t="shared" si="9"/>
        <v/>
      </c>
      <c r="B640" s="7"/>
      <c r="C640" s="7"/>
      <c r="D640" s="7"/>
      <c r="E640" s="7"/>
      <c r="F640" s="7"/>
      <c r="G640" s="7"/>
      <c r="H640" s="7"/>
      <c r="I640" s="7"/>
      <c r="J640" s="7"/>
      <c r="K640" s="7"/>
    </row>
    <row r="641" spans="1:11" ht="15.75" customHeight="1">
      <c r="A641" s="7" t="str">
        <f t="shared" si="9"/>
        <v/>
      </c>
      <c r="B641" s="7"/>
      <c r="C641" s="7"/>
      <c r="D641" s="7"/>
      <c r="E641" s="7"/>
      <c r="F641" s="7"/>
      <c r="G641" s="7"/>
      <c r="H641" s="7"/>
      <c r="I641" s="7"/>
      <c r="J641" s="7"/>
      <c r="K641" s="7"/>
    </row>
    <row r="642" spans="1:11" ht="15.75" customHeight="1">
      <c r="A642" s="7" t="str">
        <f t="shared" si="9"/>
        <v/>
      </c>
      <c r="B642" s="7"/>
      <c r="C642" s="7"/>
      <c r="D642" s="7"/>
      <c r="E642" s="7"/>
      <c r="F642" s="7"/>
      <c r="G642" s="7"/>
      <c r="H642" s="7"/>
      <c r="I642" s="7"/>
      <c r="J642" s="7"/>
      <c r="K642" s="7"/>
    </row>
    <row r="643" spans="1:11" ht="15.75" customHeight="1">
      <c r="A643" s="7" t="str">
        <f t="shared" si="9"/>
        <v/>
      </c>
      <c r="B643" s="7"/>
      <c r="C643" s="7"/>
      <c r="D643" s="7"/>
      <c r="E643" s="7"/>
      <c r="F643" s="7"/>
      <c r="G643" s="7"/>
      <c r="H643" s="7"/>
      <c r="I643" s="7"/>
      <c r="J643" s="7"/>
      <c r="K643" s="7"/>
    </row>
    <row r="644" spans="1:11" ht="15.75" customHeight="1">
      <c r="A644" s="7" t="str">
        <f t="shared" si="9"/>
        <v/>
      </c>
      <c r="B644" s="7"/>
      <c r="C644" s="7"/>
      <c r="D644" s="7"/>
      <c r="E644" s="7"/>
      <c r="F644" s="7"/>
      <c r="G644" s="7"/>
      <c r="H644" s="7"/>
      <c r="I644" s="7"/>
      <c r="J644" s="7"/>
      <c r="K644" s="7"/>
    </row>
    <row r="645" spans="1:11" ht="15.75" customHeight="1">
      <c r="A645" s="7" t="str">
        <f t="shared" ref="A645:A708" si="10">IF(B645="","","EXE-"&amp;TEXT(ROW()-4,"0000"))</f>
        <v/>
      </c>
      <c r="B645" s="7"/>
      <c r="C645" s="7"/>
      <c r="D645" s="7"/>
      <c r="E645" s="7"/>
      <c r="F645" s="7"/>
      <c r="G645" s="7"/>
      <c r="H645" s="7"/>
      <c r="I645" s="7"/>
      <c r="J645" s="7"/>
      <c r="K645" s="7"/>
    </row>
    <row r="646" spans="1:11" ht="15.75" customHeight="1">
      <c r="A646" s="7" t="str">
        <f t="shared" si="10"/>
        <v/>
      </c>
      <c r="B646" s="7"/>
      <c r="C646" s="7"/>
      <c r="D646" s="7"/>
      <c r="E646" s="7"/>
      <c r="F646" s="7"/>
      <c r="G646" s="7"/>
      <c r="H646" s="7"/>
      <c r="I646" s="7"/>
      <c r="J646" s="7"/>
      <c r="K646" s="7"/>
    </row>
    <row r="647" spans="1:11" ht="15.75" customHeight="1">
      <c r="A647" s="7" t="str">
        <f t="shared" si="10"/>
        <v/>
      </c>
      <c r="B647" s="7"/>
      <c r="C647" s="7"/>
      <c r="D647" s="7"/>
      <c r="E647" s="7"/>
      <c r="F647" s="7"/>
      <c r="G647" s="7"/>
      <c r="H647" s="7"/>
      <c r="I647" s="7"/>
      <c r="J647" s="7"/>
      <c r="K647" s="7"/>
    </row>
    <row r="648" spans="1:11" ht="15.75" customHeight="1">
      <c r="A648" s="7" t="str">
        <f t="shared" si="10"/>
        <v/>
      </c>
      <c r="B648" s="7"/>
      <c r="C648" s="7"/>
      <c r="D648" s="7"/>
      <c r="E648" s="7"/>
      <c r="F648" s="7"/>
      <c r="G648" s="7"/>
      <c r="H648" s="7"/>
      <c r="I648" s="7"/>
      <c r="J648" s="7"/>
      <c r="K648" s="7"/>
    </row>
    <row r="649" spans="1:11" ht="15.75" customHeight="1">
      <c r="A649" s="7" t="str">
        <f t="shared" si="10"/>
        <v/>
      </c>
      <c r="B649" s="7"/>
      <c r="C649" s="7"/>
      <c r="D649" s="7"/>
      <c r="E649" s="7"/>
      <c r="F649" s="7"/>
      <c r="G649" s="7"/>
      <c r="H649" s="7"/>
      <c r="I649" s="7"/>
      <c r="J649" s="7"/>
      <c r="K649" s="7"/>
    </row>
    <row r="650" spans="1:11" ht="15.75" customHeight="1">
      <c r="A650" s="7" t="str">
        <f t="shared" si="10"/>
        <v/>
      </c>
      <c r="B650" s="7"/>
      <c r="C650" s="7"/>
      <c r="D650" s="7"/>
      <c r="E650" s="7"/>
      <c r="F650" s="7"/>
      <c r="G650" s="7"/>
      <c r="H650" s="7"/>
      <c r="I650" s="7"/>
      <c r="J650" s="7"/>
      <c r="K650" s="7"/>
    </row>
    <row r="651" spans="1:11" ht="15.75" customHeight="1">
      <c r="A651" s="7" t="str">
        <f t="shared" si="10"/>
        <v/>
      </c>
      <c r="B651" s="7"/>
      <c r="C651" s="7"/>
      <c r="D651" s="7"/>
      <c r="E651" s="7"/>
      <c r="F651" s="7"/>
      <c r="G651" s="7"/>
      <c r="H651" s="7"/>
      <c r="I651" s="7"/>
      <c r="J651" s="7"/>
      <c r="K651" s="7"/>
    </row>
    <row r="652" spans="1:11" ht="15.75" customHeight="1">
      <c r="A652" s="7" t="str">
        <f t="shared" si="10"/>
        <v/>
      </c>
      <c r="B652" s="7"/>
      <c r="C652" s="7"/>
      <c r="D652" s="7"/>
      <c r="E652" s="7"/>
      <c r="F652" s="7"/>
      <c r="G652" s="7"/>
      <c r="H652" s="7"/>
      <c r="I652" s="7"/>
      <c r="J652" s="7"/>
      <c r="K652" s="7"/>
    </row>
    <row r="653" spans="1:11" ht="15.75" customHeight="1">
      <c r="A653" s="7" t="str">
        <f t="shared" si="10"/>
        <v/>
      </c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 spans="1:11" ht="15.75" customHeight="1">
      <c r="A654" s="7" t="str">
        <f t="shared" si="10"/>
        <v/>
      </c>
      <c r="B654" s="7"/>
      <c r="C654" s="7"/>
      <c r="D654" s="7"/>
      <c r="E654" s="7"/>
      <c r="F654" s="7"/>
      <c r="G654" s="7"/>
      <c r="H654" s="7"/>
      <c r="I654" s="7"/>
      <c r="J654" s="7"/>
      <c r="K654" s="7"/>
    </row>
    <row r="655" spans="1:11" ht="15.75" customHeight="1">
      <c r="A655" s="7" t="str">
        <f t="shared" si="10"/>
        <v/>
      </c>
      <c r="B655" s="7"/>
      <c r="C655" s="7"/>
      <c r="D655" s="7"/>
      <c r="E655" s="7"/>
      <c r="F655" s="7"/>
      <c r="G655" s="7"/>
      <c r="H655" s="7"/>
      <c r="I655" s="7"/>
      <c r="J655" s="7"/>
      <c r="K655" s="7"/>
    </row>
    <row r="656" spans="1:11" ht="15.75" customHeight="1">
      <c r="A656" s="7" t="str">
        <f t="shared" si="10"/>
        <v/>
      </c>
      <c r="B656" s="7"/>
      <c r="C656" s="7"/>
      <c r="D656" s="7"/>
      <c r="E656" s="7"/>
      <c r="F656" s="7"/>
      <c r="G656" s="7"/>
      <c r="H656" s="7"/>
      <c r="I656" s="7"/>
      <c r="J656" s="7"/>
      <c r="K656" s="7"/>
    </row>
    <row r="657" spans="1:11" ht="15.75" customHeight="1">
      <c r="A657" s="7" t="str">
        <f t="shared" si="10"/>
        <v/>
      </c>
      <c r="B657" s="7"/>
      <c r="C657" s="7"/>
      <c r="D657" s="7"/>
      <c r="E657" s="7"/>
      <c r="F657" s="7"/>
      <c r="G657" s="7"/>
      <c r="H657" s="7"/>
      <c r="I657" s="7"/>
      <c r="J657" s="7"/>
      <c r="K657" s="7"/>
    </row>
    <row r="658" spans="1:11" ht="15.75" customHeight="1">
      <c r="A658" s="7" t="str">
        <f t="shared" si="10"/>
        <v/>
      </c>
      <c r="B658" s="7"/>
      <c r="C658" s="7"/>
      <c r="D658" s="7"/>
      <c r="E658" s="7"/>
      <c r="F658" s="7"/>
      <c r="G658" s="7"/>
      <c r="H658" s="7"/>
      <c r="I658" s="7"/>
      <c r="J658" s="7"/>
      <c r="K658" s="7"/>
    </row>
    <row r="659" spans="1:11" ht="15.75" customHeight="1">
      <c r="A659" s="7" t="str">
        <f t="shared" si="10"/>
        <v/>
      </c>
      <c r="B659" s="7"/>
      <c r="C659" s="7"/>
      <c r="D659" s="7"/>
      <c r="E659" s="7"/>
      <c r="F659" s="7"/>
      <c r="G659" s="7"/>
      <c r="H659" s="7"/>
      <c r="I659" s="7"/>
      <c r="J659" s="7"/>
      <c r="K659" s="7"/>
    </row>
    <row r="660" spans="1:11" ht="15.75" customHeight="1">
      <c r="A660" s="7" t="str">
        <f t="shared" si="10"/>
        <v/>
      </c>
      <c r="B660" s="7"/>
      <c r="C660" s="7"/>
      <c r="D660" s="7"/>
      <c r="E660" s="7"/>
      <c r="F660" s="7"/>
      <c r="G660" s="7"/>
      <c r="H660" s="7"/>
      <c r="I660" s="7"/>
      <c r="J660" s="7"/>
      <c r="K660" s="7"/>
    </row>
    <row r="661" spans="1:11" ht="15.75" customHeight="1">
      <c r="A661" s="7" t="str">
        <f t="shared" si="10"/>
        <v/>
      </c>
      <c r="B661" s="7"/>
      <c r="C661" s="7"/>
      <c r="D661" s="7"/>
      <c r="E661" s="7"/>
      <c r="F661" s="7"/>
      <c r="G661" s="7"/>
      <c r="H661" s="7"/>
      <c r="I661" s="7"/>
      <c r="J661" s="7"/>
      <c r="K661" s="7"/>
    </row>
    <row r="662" spans="1:11" ht="15.75" customHeight="1">
      <c r="A662" s="7" t="str">
        <f t="shared" si="10"/>
        <v/>
      </c>
      <c r="B662" s="7"/>
      <c r="C662" s="7"/>
      <c r="D662" s="7"/>
      <c r="E662" s="7"/>
      <c r="F662" s="7"/>
      <c r="G662" s="7"/>
      <c r="H662" s="7"/>
      <c r="I662" s="7"/>
      <c r="J662" s="7"/>
      <c r="K662" s="7"/>
    </row>
    <row r="663" spans="1:11" ht="15.75" customHeight="1">
      <c r="A663" s="7" t="str">
        <f t="shared" si="10"/>
        <v/>
      </c>
      <c r="B663" s="7"/>
      <c r="C663" s="7"/>
      <c r="D663" s="7"/>
      <c r="E663" s="7"/>
      <c r="F663" s="7"/>
      <c r="G663" s="7"/>
      <c r="H663" s="7"/>
      <c r="I663" s="7"/>
      <c r="J663" s="7"/>
      <c r="K663" s="7"/>
    </row>
    <row r="664" spans="1:11" ht="15.75" customHeight="1">
      <c r="A664" s="7" t="str">
        <f t="shared" si="10"/>
        <v/>
      </c>
      <c r="B664" s="7"/>
      <c r="C664" s="7"/>
      <c r="D664" s="7"/>
      <c r="E664" s="7"/>
      <c r="F664" s="7"/>
      <c r="G664" s="7"/>
      <c r="H664" s="7"/>
      <c r="I664" s="7"/>
      <c r="J664" s="7"/>
      <c r="K664" s="7"/>
    </row>
    <row r="665" spans="1:11" ht="15.75" customHeight="1">
      <c r="A665" s="7" t="str">
        <f t="shared" si="10"/>
        <v/>
      </c>
      <c r="B665" s="7"/>
      <c r="C665" s="7"/>
      <c r="D665" s="7"/>
      <c r="E665" s="7"/>
      <c r="F665" s="7"/>
      <c r="G665" s="7"/>
      <c r="H665" s="7"/>
      <c r="I665" s="7"/>
      <c r="J665" s="7"/>
      <c r="K665" s="7"/>
    </row>
    <row r="666" spans="1:11" ht="15.75" customHeight="1">
      <c r="A666" s="7" t="str">
        <f t="shared" si="10"/>
        <v/>
      </c>
      <c r="B666" s="7"/>
      <c r="C666" s="7"/>
      <c r="D666" s="7"/>
      <c r="E666" s="7"/>
      <c r="F666" s="7"/>
      <c r="G666" s="7"/>
      <c r="H666" s="7"/>
      <c r="I666" s="7"/>
      <c r="J666" s="7"/>
      <c r="K666" s="7"/>
    </row>
    <row r="667" spans="1:11" ht="15.75" customHeight="1">
      <c r="A667" s="7" t="str">
        <f t="shared" si="10"/>
        <v/>
      </c>
      <c r="B667" s="7"/>
      <c r="C667" s="7"/>
      <c r="D667" s="7"/>
      <c r="E667" s="7"/>
      <c r="F667" s="7"/>
      <c r="G667" s="7"/>
      <c r="H667" s="7"/>
      <c r="I667" s="7"/>
      <c r="J667" s="7"/>
      <c r="K667" s="7"/>
    </row>
    <row r="668" spans="1:11" ht="15.75" customHeight="1">
      <c r="A668" s="7" t="str">
        <f t="shared" si="10"/>
        <v/>
      </c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 spans="1:11" ht="15.75" customHeight="1">
      <c r="A669" s="7" t="str">
        <f t="shared" si="10"/>
        <v/>
      </c>
      <c r="B669" s="7"/>
      <c r="C669" s="7"/>
      <c r="D669" s="7"/>
      <c r="E669" s="7"/>
      <c r="F669" s="7"/>
      <c r="G669" s="7"/>
      <c r="H669" s="7"/>
      <c r="I669" s="7"/>
      <c r="J669" s="7"/>
      <c r="K669" s="7"/>
    </row>
    <row r="670" spans="1:11" ht="15.75" customHeight="1">
      <c r="A670" s="7" t="str">
        <f t="shared" si="10"/>
        <v/>
      </c>
      <c r="B670" s="7"/>
      <c r="C670" s="7"/>
      <c r="D670" s="7"/>
      <c r="E670" s="7"/>
      <c r="F670" s="7"/>
      <c r="G670" s="7"/>
      <c r="H670" s="7"/>
      <c r="I670" s="7"/>
      <c r="J670" s="7"/>
      <c r="K670" s="7"/>
    </row>
    <row r="671" spans="1:11" ht="15.75" customHeight="1">
      <c r="A671" s="7" t="str">
        <f t="shared" si="10"/>
        <v/>
      </c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 spans="1:11" ht="15.75" customHeight="1">
      <c r="A672" s="7" t="str">
        <f t="shared" si="10"/>
        <v/>
      </c>
      <c r="B672" s="7"/>
      <c r="C672" s="7"/>
      <c r="D672" s="7"/>
      <c r="E672" s="7"/>
      <c r="F672" s="7"/>
      <c r="G672" s="7"/>
      <c r="H672" s="7"/>
      <c r="I672" s="7"/>
      <c r="J672" s="7"/>
      <c r="K672" s="7"/>
    </row>
    <row r="673" spans="1:11" ht="15.75" customHeight="1">
      <c r="A673" s="7" t="str">
        <f t="shared" si="10"/>
        <v/>
      </c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 spans="1:11" ht="15.75" customHeight="1">
      <c r="A674" s="7" t="str">
        <f t="shared" si="10"/>
        <v/>
      </c>
      <c r="B674" s="7"/>
      <c r="C674" s="7"/>
      <c r="D674" s="7"/>
      <c r="E674" s="7"/>
      <c r="F674" s="7"/>
      <c r="G674" s="7"/>
      <c r="H674" s="7"/>
      <c r="I674" s="7"/>
      <c r="J674" s="7"/>
      <c r="K674" s="7"/>
    </row>
    <row r="675" spans="1:11" ht="15.75" customHeight="1">
      <c r="A675" s="7" t="str">
        <f t="shared" si="10"/>
        <v/>
      </c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 spans="1:11" ht="15.75" customHeight="1">
      <c r="A676" s="7" t="str">
        <f t="shared" si="10"/>
        <v/>
      </c>
      <c r="B676" s="7"/>
      <c r="C676" s="7"/>
      <c r="D676" s="7"/>
      <c r="E676" s="7"/>
      <c r="F676" s="7"/>
      <c r="G676" s="7"/>
      <c r="H676" s="7"/>
      <c r="I676" s="7"/>
      <c r="J676" s="7"/>
      <c r="K676" s="7"/>
    </row>
    <row r="677" spans="1:11" ht="15.75" customHeight="1">
      <c r="A677" s="7" t="str">
        <f t="shared" si="10"/>
        <v/>
      </c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 spans="1:11" ht="15.75" customHeight="1">
      <c r="A678" s="7" t="str">
        <f t="shared" si="10"/>
        <v/>
      </c>
      <c r="B678" s="7"/>
      <c r="C678" s="7"/>
      <c r="D678" s="7"/>
      <c r="E678" s="7"/>
      <c r="F678" s="7"/>
      <c r="G678" s="7"/>
      <c r="H678" s="7"/>
      <c r="I678" s="7"/>
      <c r="J678" s="7"/>
      <c r="K678" s="7"/>
    </row>
    <row r="679" spans="1:11" ht="15.75" customHeight="1">
      <c r="A679" s="7" t="str">
        <f t="shared" si="10"/>
        <v/>
      </c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 spans="1:11" ht="15.75" customHeight="1">
      <c r="A680" s="7" t="str">
        <f t="shared" si="10"/>
        <v/>
      </c>
      <c r="B680" s="7"/>
      <c r="C680" s="7"/>
      <c r="D680" s="7"/>
      <c r="E680" s="7"/>
      <c r="F680" s="7"/>
      <c r="G680" s="7"/>
      <c r="H680" s="7"/>
      <c r="I680" s="7"/>
      <c r="J680" s="7"/>
      <c r="K680" s="7"/>
    </row>
    <row r="681" spans="1:11" ht="15.75" customHeight="1">
      <c r="A681" s="7" t="str">
        <f t="shared" si="10"/>
        <v/>
      </c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 spans="1:11" ht="15.75" customHeight="1">
      <c r="A682" s="7" t="str">
        <f t="shared" si="10"/>
        <v/>
      </c>
      <c r="B682" s="7"/>
      <c r="C682" s="7"/>
      <c r="D682" s="7"/>
      <c r="E682" s="7"/>
      <c r="F682" s="7"/>
      <c r="G682" s="7"/>
      <c r="H682" s="7"/>
      <c r="I682" s="7"/>
      <c r="J682" s="7"/>
      <c r="K682" s="7"/>
    </row>
    <row r="683" spans="1:11" ht="15.75" customHeight="1">
      <c r="A683" s="7" t="str">
        <f t="shared" si="10"/>
        <v/>
      </c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 spans="1:11" ht="15.75" customHeight="1">
      <c r="A684" s="7" t="str">
        <f t="shared" si="10"/>
        <v/>
      </c>
      <c r="B684" s="7"/>
      <c r="C684" s="7"/>
      <c r="D684" s="7"/>
      <c r="E684" s="7"/>
      <c r="F684" s="7"/>
      <c r="G684" s="7"/>
      <c r="H684" s="7"/>
      <c r="I684" s="7"/>
      <c r="J684" s="7"/>
      <c r="K684" s="7"/>
    </row>
    <row r="685" spans="1:11" ht="15.75" customHeight="1">
      <c r="A685" s="7" t="str">
        <f t="shared" si="10"/>
        <v/>
      </c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 spans="1:11" ht="15.75" customHeight="1">
      <c r="A686" s="7" t="str">
        <f t="shared" si="10"/>
        <v/>
      </c>
      <c r="B686" s="7"/>
      <c r="C686" s="7"/>
      <c r="D686" s="7"/>
      <c r="E686" s="7"/>
      <c r="F686" s="7"/>
      <c r="G686" s="7"/>
      <c r="H686" s="7"/>
      <c r="I686" s="7"/>
      <c r="J686" s="7"/>
      <c r="K686" s="7"/>
    </row>
    <row r="687" spans="1:11" ht="15.75" customHeight="1">
      <c r="A687" s="7" t="str">
        <f t="shared" si="10"/>
        <v/>
      </c>
      <c r="B687" s="7"/>
      <c r="C687" s="7"/>
      <c r="D687" s="7"/>
      <c r="E687" s="7"/>
      <c r="F687" s="7"/>
      <c r="G687" s="7"/>
      <c r="H687" s="7"/>
      <c r="I687" s="7"/>
      <c r="J687" s="7"/>
      <c r="K687" s="7"/>
    </row>
    <row r="688" spans="1:11" ht="15.75" customHeight="1">
      <c r="A688" s="7" t="str">
        <f t="shared" si="10"/>
        <v/>
      </c>
      <c r="B688" s="7"/>
      <c r="C688" s="7"/>
      <c r="D688" s="7"/>
      <c r="E688" s="7"/>
      <c r="F688" s="7"/>
      <c r="G688" s="7"/>
      <c r="H688" s="7"/>
      <c r="I688" s="7"/>
      <c r="J688" s="7"/>
      <c r="K688" s="7"/>
    </row>
    <row r="689" spans="1:11" ht="15.75" customHeight="1">
      <c r="A689" s="7" t="str">
        <f t="shared" si="10"/>
        <v/>
      </c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 spans="1:11" ht="15.75" customHeight="1">
      <c r="A690" s="7" t="str">
        <f t="shared" si="10"/>
        <v/>
      </c>
      <c r="B690" s="7"/>
      <c r="C690" s="7"/>
      <c r="D690" s="7"/>
      <c r="E690" s="7"/>
      <c r="F690" s="7"/>
      <c r="G690" s="7"/>
      <c r="H690" s="7"/>
      <c r="I690" s="7"/>
      <c r="J690" s="7"/>
      <c r="K690" s="7"/>
    </row>
    <row r="691" spans="1:11" ht="15.75" customHeight="1">
      <c r="A691" s="7" t="str">
        <f t="shared" si="10"/>
        <v/>
      </c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 spans="1:11" ht="15.75" customHeight="1">
      <c r="A692" s="7" t="str">
        <f t="shared" si="10"/>
        <v/>
      </c>
      <c r="B692" s="7"/>
      <c r="C692" s="7"/>
      <c r="D692" s="7"/>
      <c r="E692" s="7"/>
      <c r="F692" s="7"/>
      <c r="G692" s="7"/>
      <c r="H692" s="7"/>
      <c r="I692" s="7"/>
      <c r="J692" s="7"/>
      <c r="K692" s="7"/>
    </row>
    <row r="693" spans="1:11" ht="15.75" customHeight="1">
      <c r="A693" s="7" t="str">
        <f t="shared" si="10"/>
        <v/>
      </c>
      <c r="B693" s="7"/>
      <c r="C693" s="7"/>
      <c r="D693" s="7"/>
      <c r="E693" s="7"/>
      <c r="F693" s="7"/>
      <c r="G693" s="7"/>
      <c r="H693" s="7"/>
      <c r="I693" s="7"/>
      <c r="J693" s="7"/>
      <c r="K693" s="7"/>
    </row>
    <row r="694" spans="1:11" ht="15.75" customHeight="1">
      <c r="A694" s="7" t="str">
        <f t="shared" si="10"/>
        <v/>
      </c>
      <c r="B694" s="7"/>
      <c r="C694" s="7"/>
      <c r="D694" s="7"/>
      <c r="E694" s="7"/>
      <c r="F694" s="7"/>
      <c r="G694" s="7"/>
      <c r="H694" s="7"/>
      <c r="I694" s="7"/>
      <c r="J694" s="7"/>
      <c r="K694" s="7"/>
    </row>
    <row r="695" spans="1:11" ht="15.75" customHeight="1">
      <c r="A695" s="7" t="str">
        <f t="shared" si="10"/>
        <v/>
      </c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 spans="1:11" ht="15.75" customHeight="1">
      <c r="A696" s="7" t="str">
        <f t="shared" si="10"/>
        <v/>
      </c>
      <c r="B696" s="7"/>
      <c r="C696" s="7"/>
      <c r="D696" s="7"/>
      <c r="E696" s="7"/>
      <c r="F696" s="7"/>
      <c r="G696" s="7"/>
      <c r="H696" s="7"/>
      <c r="I696" s="7"/>
      <c r="J696" s="7"/>
      <c r="K696" s="7"/>
    </row>
    <row r="697" spans="1:11" ht="15.75" customHeight="1">
      <c r="A697" s="7" t="str">
        <f t="shared" si="10"/>
        <v/>
      </c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 spans="1:11" ht="15.75" customHeight="1">
      <c r="A698" s="7" t="str">
        <f t="shared" si="10"/>
        <v/>
      </c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 spans="1:11" ht="15.75" customHeight="1">
      <c r="A699" s="7" t="str">
        <f t="shared" si="10"/>
        <v/>
      </c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 spans="1:11" ht="15.75" customHeight="1">
      <c r="A700" s="7" t="str">
        <f t="shared" si="10"/>
        <v/>
      </c>
      <c r="B700" s="7"/>
      <c r="C700" s="7"/>
      <c r="D700" s="7"/>
      <c r="E700" s="7"/>
      <c r="F700" s="7"/>
      <c r="G700" s="7"/>
      <c r="H700" s="7"/>
      <c r="I700" s="7"/>
      <c r="J700" s="7"/>
      <c r="K700" s="7"/>
    </row>
    <row r="701" spans="1:11" ht="15.75" customHeight="1">
      <c r="A701" s="7" t="str">
        <f t="shared" si="10"/>
        <v/>
      </c>
      <c r="B701" s="7"/>
      <c r="C701" s="7"/>
      <c r="D701" s="7"/>
      <c r="E701" s="7"/>
      <c r="F701" s="7"/>
      <c r="G701" s="7"/>
      <c r="H701" s="7"/>
      <c r="I701" s="7"/>
      <c r="J701" s="7"/>
      <c r="K701" s="7"/>
    </row>
    <row r="702" spans="1:11" ht="15.75" customHeight="1">
      <c r="A702" s="7" t="str">
        <f t="shared" si="10"/>
        <v/>
      </c>
      <c r="B702" s="7"/>
      <c r="C702" s="7"/>
      <c r="D702" s="7"/>
      <c r="E702" s="7"/>
      <c r="F702" s="7"/>
      <c r="G702" s="7"/>
      <c r="H702" s="7"/>
      <c r="I702" s="7"/>
      <c r="J702" s="7"/>
      <c r="K702" s="7"/>
    </row>
    <row r="703" spans="1:11" ht="15.75" customHeight="1">
      <c r="A703" s="7" t="str">
        <f t="shared" si="10"/>
        <v/>
      </c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 spans="1:11" ht="15.75" customHeight="1">
      <c r="A704" s="7" t="str">
        <f t="shared" si="10"/>
        <v/>
      </c>
      <c r="B704" s="7"/>
      <c r="C704" s="7"/>
      <c r="D704" s="7"/>
      <c r="E704" s="7"/>
      <c r="F704" s="7"/>
      <c r="G704" s="7"/>
      <c r="H704" s="7"/>
      <c r="I704" s="7"/>
      <c r="J704" s="7"/>
      <c r="K704" s="7"/>
    </row>
    <row r="705" spans="1:11" ht="15.75" customHeight="1">
      <c r="A705" s="7" t="str">
        <f t="shared" si="10"/>
        <v/>
      </c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 spans="1:11" ht="15.75" customHeight="1">
      <c r="A706" s="7" t="str">
        <f t="shared" si="10"/>
        <v/>
      </c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 spans="1:11" ht="15.75" customHeight="1">
      <c r="A707" s="7" t="str">
        <f t="shared" si="10"/>
        <v/>
      </c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 spans="1:11" ht="15.75" customHeight="1">
      <c r="A708" s="7" t="str">
        <f t="shared" si="10"/>
        <v/>
      </c>
      <c r="B708" s="7"/>
      <c r="C708" s="7"/>
      <c r="D708" s="7"/>
      <c r="E708" s="7"/>
      <c r="F708" s="7"/>
      <c r="G708" s="7"/>
      <c r="H708" s="7"/>
      <c r="I708" s="7"/>
      <c r="J708" s="7"/>
      <c r="K708" s="7"/>
    </row>
    <row r="709" spans="1:11" ht="15.75" customHeight="1">
      <c r="A709" s="7" t="str">
        <f t="shared" ref="A709:A772" si="11">IF(B709="","","EXE-"&amp;TEXT(ROW()-4,"0000"))</f>
        <v/>
      </c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 spans="1:11" ht="15.75" customHeight="1">
      <c r="A710" s="7" t="str">
        <f t="shared" si="11"/>
        <v/>
      </c>
      <c r="B710" s="7"/>
      <c r="C710" s="7"/>
      <c r="D710" s="7"/>
      <c r="E710" s="7"/>
      <c r="F710" s="7"/>
      <c r="G710" s="7"/>
      <c r="H710" s="7"/>
      <c r="I710" s="7"/>
      <c r="J710" s="7"/>
      <c r="K710" s="7"/>
    </row>
    <row r="711" spans="1:11" ht="15.75" customHeight="1">
      <c r="A711" s="7" t="str">
        <f t="shared" si="11"/>
        <v/>
      </c>
      <c r="B711" s="7"/>
      <c r="C711" s="7"/>
      <c r="D711" s="7"/>
      <c r="E711" s="7"/>
      <c r="F711" s="7"/>
      <c r="G711" s="7"/>
      <c r="H711" s="7"/>
      <c r="I711" s="7"/>
      <c r="J711" s="7"/>
      <c r="K711" s="7"/>
    </row>
    <row r="712" spans="1:11" ht="15.75" customHeight="1">
      <c r="A712" s="7" t="str">
        <f t="shared" si="11"/>
        <v/>
      </c>
      <c r="B712" s="7"/>
      <c r="C712" s="7"/>
      <c r="D712" s="7"/>
      <c r="E712" s="7"/>
      <c r="F712" s="7"/>
      <c r="G712" s="7"/>
      <c r="H712" s="7"/>
      <c r="I712" s="7"/>
      <c r="J712" s="7"/>
      <c r="K712" s="7"/>
    </row>
    <row r="713" spans="1:11" ht="15.75" customHeight="1">
      <c r="A713" s="7" t="str">
        <f t="shared" si="11"/>
        <v/>
      </c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 spans="1:11" ht="15.75" customHeight="1">
      <c r="A714" s="7" t="str">
        <f t="shared" si="11"/>
        <v/>
      </c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 spans="1:11" ht="15.75" customHeight="1">
      <c r="A715" s="7" t="str">
        <f t="shared" si="11"/>
        <v/>
      </c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 spans="1:11" ht="15.75" customHeight="1">
      <c r="A716" s="7" t="str">
        <f t="shared" si="11"/>
        <v/>
      </c>
      <c r="B716" s="7"/>
      <c r="C716" s="7"/>
      <c r="D716" s="7"/>
      <c r="E716" s="7"/>
      <c r="F716" s="7"/>
      <c r="G716" s="7"/>
      <c r="H716" s="7"/>
      <c r="I716" s="7"/>
      <c r="J716" s="7"/>
      <c r="K716" s="7"/>
    </row>
    <row r="717" spans="1:11" ht="15.75" customHeight="1">
      <c r="A717" s="7" t="str">
        <f t="shared" si="11"/>
        <v/>
      </c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 spans="1:11" ht="15.75" customHeight="1">
      <c r="A718" s="7" t="str">
        <f t="shared" si="11"/>
        <v/>
      </c>
      <c r="B718" s="7"/>
      <c r="C718" s="7"/>
      <c r="D718" s="7"/>
      <c r="E718" s="7"/>
      <c r="F718" s="7"/>
      <c r="G718" s="7"/>
      <c r="H718" s="7"/>
      <c r="I718" s="7"/>
      <c r="J718" s="7"/>
      <c r="K718" s="7"/>
    </row>
    <row r="719" spans="1:11" ht="15.75" customHeight="1">
      <c r="A719" s="7" t="str">
        <f t="shared" si="11"/>
        <v/>
      </c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 spans="1:11" ht="15.75" customHeight="1">
      <c r="A720" s="7" t="str">
        <f t="shared" si="11"/>
        <v/>
      </c>
      <c r="B720" s="7"/>
      <c r="C720" s="7"/>
      <c r="D720" s="7"/>
      <c r="E720" s="7"/>
      <c r="F720" s="7"/>
      <c r="G720" s="7"/>
      <c r="H720" s="7"/>
      <c r="I720" s="7"/>
      <c r="J720" s="7"/>
      <c r="K720" s="7"/>
    </row>
    <row r="721" spans="1:11" ht="15.75" customHeight="1">
      <c r="A721" s="7" t="str">
        <f t="shared" si="11"/>
        <v/>
      </c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 spans="1:11" ht="15.75" customHeight="1">
      <c r="A722" s="7" t="str">
        <f t="shared" si="11"/>
        <v/>
      </c>
      <c r="B722" s="7"/>
      <c r="C722" s="7"/>
      <c r="D722" s="7"/>
      <c r="E722" s="7"/>
      <c r="F722" s="7"/>
      <c r="G722" s="7"/>
      <c r="H722" s="7"/>
      <c r="I722" s="7"/>
      <c r="J722" s="7"/>
      <c r="K722" s="7"/>
    </row>
    <row r="723" spans="1:11" ht="15.75" customHeight="1">
      <c r="A723" s="7" t="str">
        <f t="shared" si="11"/>
        <v/>
      </c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 spans="1:11" ht="15.75" customHeight="1">
      <c r="A724" s="7" t="str">
        <f t="shared" si="11"/>
        <v/>
      </c>
      <c r="B724" s="7"/>
      <c r="C724" s="7"/>
      <c r="D724" s="7"/>
      <c r="E724" s="7"/>
      <c r="F724" s="7"/>
      <c r="G724" s="7"/>
      <c r="H724" s="7"/>
      <c r="I724" s="7"/>
      <c r="J724" s="7"/>
      <c r="K724" s="7"/>
    </row>
    <row r="725" spans="1:11" ht="15.75" customHeight="1">
      <c r="A725" s="7" t="str">
        <f t="shared" si="11"/>
        <v/>
      </c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 spans="1:11" ht="15.75" customHeight="1">
      <c r="A726" s="7" t="str">
        <f t="shared" si="11"/>
        <v/>
      </c>
      <c r="B726" s="7"/>
      <c r="C726" s="7"/>
      <c r="D726" s="7"/>
      <c r="E726" s="7"/>
      <c r="F726" s="7"/>
      <c r="G726" s="7"/>
      <c r="H726" s="7"/>
      <c r="I726" s="7"/>
      <c r="J726" s="7"/>
      <c r="K726" s="7"/>
    </row>
    <row r="727" spans="1:11" ht="15.75" customHeight="1">
      <c r="A727" s="7" t="str">
        <f t="shared" si="11"/>
        <v/>
      </c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 spans="1:11" ht="15.75" customHeight="1">
      <c r="A728" s="7" t="str">
        <f t="shared" si="11"/>
        <v/>
      </c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 spans="1:11" ht="15.75" customHeight="1">
      <c r="A729" s="7" t="str">
        <f t="shared" si="11"/>
        <v/>
      </c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 spans="1:11" ht="15.75" customHeight="1">
      <c r="A730" s="7" t="str">
        <f t="shared" si="11"/>
        <v/>
      </c>
      <c r="B730" s="7"/>
      <c r="C730" s="7"/>
      <c r="D730" s="7"/>
      <c r="E730" s="7"/>
      <c r="F730" s="7"/>
      <c r="G730" s="7"/>
      <c r="H730" s="7"/>
      <c r="I730" s="7"/>
      <c r="J730" s="7"/>
      <c r="K730" s="7"/>
    </row>
    <row r="731" spans="1:11" ht="15.75" customHeight="1">
      <c r="A731" s="7" t="str">
        <f t="shared" si="11"/>
        <v/>
      </c>
      <c r="B731" s="7"/>
      <c r="C731" s="7"/>
      <c r="D731" s="7"/>
      <c r="E731" s="7"/>
      <c r="F731" s="7"/>
      <c r="G731" s="7"/>
      <c r="H731" s="7"/>
      <c r="I731" s="7"/>
      <c r="J731" s="7"/>
      <c r="K731" s="7"/>
    </row>
    <row r="732" spans="1:11" ht="15.75" customHeight="1">
      <c r="A732" s="7" t="str">
        <f t="shared" si="11"/>
        <v/>
      </c>
      <c r="B732" s="7"/>
      <c r="C732" s="7"/>
      <c r="D732" s="7"/>
      <c r="E732" s="7"/>
      <c r="F732" s="7"/>
      <c r="G732" s="7"/>
      <c r="H732" s="7"/>
      <c r="I732" s="7"/>
      <c r="J732" s="7"/>
      <c r="K732" s="7"/>
    </row>
    <row r="733" spans="1:11" ht="15.75" customHeight="1">
      <c r="A733" s="7" t="str">
        <f t="shared" si="11"/>
        <v/>
      </c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 spans="1:11" ht="15.75" customHeight="1">
      <c r="A734" s="7" t="str">
        <f t="shared" si="11"/>
        <v/>
      </c>
      <c r="B734" s="7"/>
      <c r="C734" s="7"/>
      <c r="D734" s="7"/>
      <c r="E734" s="7"/>
      <c r="F734" s="7"/>
      <c r="G734" s="7"/>
      <c r="H734" s="7"/>
      <c r="I734" s="7"/>
      <c r="J734" s="7"/>
      <c r="K734" s="7"/>
    </row>
    <row r="735" spans="1:11" ht="15.75" customHeight="1">
      <c r="A735" s="7" t="str">
        <f t="shared" si="11"/>
        <v/>
      </c>
      <c r="B735" s="7"/>
      <c r="C735" s="7"/>
      <c r="D735" s="7"/>
      <c r="E735" s="7"/>
      <c r="F735" s="7"/>
      <c r="G735" s="7"/>
      <c r="H735" s="7"/>
      <c r="I735" s="7"/>
      <c r="J735" s="7"/>
      <c r="K735" s="7"/>
    </row>
    <row r="736" spans="1:11" ht="15.75" customHeight="1">
      <c r="A736" s="7" t="str">
        <f t="shared" si="11"/>
        <v/>
      </c>
      <c r="B736" s="7"/>
      <c r="C736" s="7"/>
      <c r="D736" s="7"/>
      <c r="E736" s="7"/>
      <c r="F736" s="7"/>
      <c r="G736" s="7"/>
      <c r="H736" s="7"/>
      <c r="I736" s="7"/>
      <c r="J736" s="7"/>
      <c r="K736" s="7"/>
    </row>
    <row r="737" spans="1:11" ht="15.75" customHeight="1">
      <c r="A737" s="7" t="str">
        <f t="shared" si="11"/>
        <v/>
      </c>
      <c r="B737" s="7"/>
      <c r="C737" s="7"/>
      <c r="D737" s="7"/>
      <c r="E737" s="7"/>
      <c r="F737" s="7"/>
      <c r="G737" s="7"/>
      <c r="H737" s="7"/>
      <c r="I737" s="7"/>
      <c r="J737" s="7"/>
      <c r="K737" s="7"/>
    </row>
    <row r="738" spans="1:11" ht="15.75" customHeight="1">
      <c r="A738" s="7" t="str">
        <f t="shared" si="11"/>
        <v/>
      </c>
      <c r="B738" s="7"/>
      <c r="C738" s="7"/>
      <c r="D738" s="7"/>
      <c r="E738" s="7"/>
      <c r="F738" s="7"/>
      <c r="G738" s="7"/>
      <c r="H738" s="7"/>
      <c r="I738" s="7"/>
      <c r="J738" s="7"/>
      <c r="K738" s="7"/>
    </row>
    <row r="739" spans="1:11" ht="15.75" customHeight="1">
      <c r="A739" s="7" t="str">
        <f t="shared" si="11"/>
        <v/>
      </c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 spans="1:11" ht="15.75" customHeight="1">
      <c r="A740" s="7" t="str">
        <f t="shared" si="11"/>
        <v/>
      </c>
      <c r="B740" s="7"/>
      <c r="C740" s="7"/>
      <c r="D740" s="7"/>
      <c r="E740" s="7"/>
      <c r="F740" s="7"/>
      <c r="G740" s="7"/>
      <c r="H740" s="7"/>
      <c r="I740" s="7"/>
      <c r="J740" s="7"/>
      <c r="K740" s="7"/>
    </row>
    <row r="741" spans="1:11" ht="15.75" customHeight="1">
      <c r="A741" s="7" t="str">
        <f t="shared" si="11"/>
        <v/>
      </c>
      <c r="B741" s="7"/>
      <c r="C741" s="7"/>
      <c r="D741" s="7"/>
      <c r="E741" s="7"/>
      <c r="F741" s="7"/>
      <c r="G741" s="7"/>
      <c r="H741" s="7"/>
      <c r="I741" s="7"/>
      <c r="J741" s="7"/>
      <c r="K741" s="7"/>
    </row>
    <row r="742" spans="1:11" ht="15.75" customHeight="1">
      <c r="A742" s="7" t="str">
        <f t="shared" si="11"/>
        <v/>
      </c>
      <c r="B742" s="7"/>
      <c r="C742" s="7"/>
      <c r="D742" s="7"/>
      <c r="E742" s="7"/>
      <c r="F742" s="7"/>
      <c r="G742" s="7"/>
      <c r="H742" s="7"/>
      <c r="I742" s="7"/>
      <c r="J742" s="7"/>
      <c r="K742" s="7"/>
    </row>
    <row r="743" spans="1:11" ht="15.75" customHeight="1">
      <c r="A743" s="7" t="str">
        <f t="shared" si="11"/>
        <v/>
      </c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 spans="1:11" ht="15.75" customHeight="1">
      <c r="A744" s="7" t="str">
        <f t="shared" si="11"/>
        <v/>
      </c>
      <c r="B744" s="7"/>
      <c r="C744" s="7"/>
      <c r="D744" s="7"/>
      <c r="E744" s="7"/>
      <c r="F744" s="7"/>
      <c r="G744" s="7"/>
      <c r="H744" s="7"/>
      <c r="I744" s="7"/>
      <c r="J744" s="7"/>
      <c r="K744" s="7"/>
    </row>
    <row r="745" spans="1:11" ht="15.75" customHeight="1">
      <c r="A745" s="7" t="str">
        <f t="shared" si="11"/>
        <v/>
      </c>
      <c r="B745" s="7"/>
      <c r="C745" s="7"/>
      <c r="D745" s="7"/>
      <c r="E745" s="7"/>
      <c r="F745" s="7"/>
      <c r="G745" s="7"/>
      <c r="H745" s="7"/>
      <c r="I745" s="7"/>
      <c r="J745" s="7"/>
      <c r="K745" s="7"/>
    </row>
    <row r="746" spans="1:11" ht="15.75" customHeight="1">
      <c r="A746" s="7" t="str">
        <f t="shared" si="11"/>
        <v/>
      </c>
      <c r="B746" s="7"/>
      <c r="C746" s="7"/>
      <c r="D746" s="7"/>
      <c r="E746" s="7"/>
      <c r="F746" s="7"/>
      <c r="G746" s="7"/>
      <c r="H746" s="7"/>
      <c r="I746" s="7"/>
      <c r="J746" s="7"/>
      <c r="K746" s="7"/>
    </row>
    <row r="747" spans="1:11" ht="15.75" customHeight="1">
      <c r="A747" s="7" t="str">
        <f t="shared" si="11"/>
        <v/>
      </c>
      <c r="B747" s="7"/>
      <c r="C747" s="7"/>
      <c r="D747" s="7"/>
      <c r="E747" s="7"/>
      <c r="F747" s="7"/>
      <c r="G747" s="7"/>
      <c r="H747" s="7"/>
      <c r="I747" s="7"/>
      <c r="J747" s="7"/>
      <c r="K747" s="7"/>
    </row>
    <row r="748" spans="1:11" ht="15.75" customHeight="1">
      <c r="A748" s="7" t="str">
        <f t="shared" si="11"/>
        <v/>
      </c>
      <c r="B748" s="7"/>
      <c r="C748" s="7"/>
      <c r="D748" s="7"/>
      <c r="E748" s="7"/>
      <c r="F748" s="7"/>
      <c r="G748" s="7"/>
      <c r="H748" s="7"/>
      <c r="I748" s="7"/>
      <c r="J748" s="7"/>
      <c r="K748" s="7"/>
    </row>
    <row r="749" spans="1:11" ht="15.75" customHeight="1">
      <c r="A749" s="7" t="str">
        <f t="shared" si="11"/>
        <v/>
      </c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 spans="1:11" ht="15.75" customHeight="1">
      <c r="A750" s="7" t="str">
        <f t="shared" si="11"/>
        <v/>
      </c>
      <c r="B750" s="7"/>
      <c r="C750" s="7"/>
      <c r="D750" s="7"/>
      <c r="E750" s="7"/>
      <c r="F750" s="7"/>
      <c r="G750" s="7"/>
      <c r="H750" s="7"/>
      <c r="I750" s="7"/>
      <c r="J750" s="7"/>
      <c r="K750" s="7"/>
    </row>
    <row r="751" spans="1:11" ht="15.75" customHeight="1">
      <c r="A751" s="7" t="str">
        <f t="shared" si="11"/>
        <v/>
      </c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 spans="1:11" ht="15.75" customHeight="1">
      <c r="A752" s="7" t="str">
        <f t="shared" si="11"/>
        <v/>
      </c>
      <c r="B752" s="7"/>
      <c r="C752" s="7"/>
      <c r="D752" s="7"/>
      <c r="E752" s="7"/>
      <c r="F752" s="7"/>
      <c r="G752" s="7"/>
      <c r="H752" s="7"/>
      <c r="I752" s="7"/>
      <c r="J752" s="7"/>
      <c r="K752" s="7"/>
    </row>
    <row r="753" spans="1:11" ht="15.75" customHeight="1">
      <c r="A753" s="7" t="str">
        <f t="shared" si="11"/>
        <v/>
      </c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 spans="1:11" ht="15.75" customHeight="1">
      <c r="A754" s="7" t="str">
        <f t="shared" si="11"/>
        <v/>
      </c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 spans="1:11" ht="15.75" customHeight="1">
      <c r="A755" s="7" t="str">
        <f t="shared" si="11"/>
        <v/>
      </c>
      <c r="B755" s="7"/>
      <c r="C755" s="7"/>
      <c r="D755" s="7"/>
      <c r="E755" s="7"/>
      <c r="F755" s="7"/>
      <c r="G755" s="7"/>
      <c r="H755" s="7"/>
      <c r="I755" s="7"/>
      <c r="J755" s="7"/>
      <c r="K755" s="7"/>
    </row>
    <row r="756" spans="1:11" ht="15.75" customHeight="1">
      <c r="A756" s="7" t="str">
        <f t="shared" si="11"/>
        <v/>
      </c>
      <c r="B756" s="7"/>
      <c r="C756" s="7"/>
      <c r="D756" s="7"/>
      <c r="E756" s="7"/>
      <c r="F756" s="7"/>
      <c r="G756" s="7"/>
      <c r="H756" s="7"/>
      <c r="I756" s="7"/>
      <c r="J756" s="7"/>
      <c r="K756" s="7"/>
    </row>
    <row r="757" spans="1:11" ht="15.75" customHeight="1">
      <c r="A757" s="7" t="str">
        <f t="shared" si="11"/>
        <v/>
      </c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 spans="1:11" ht="15.75" customHeight="1">
      <c r="A758" s="7" t="str">
        <f t="shared" si="11"/>
        <v/>
      </c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 spans="1:11" ht="15.75" customHeight="1">
      <c r="A759" s="7" t="str">
        <f t="shared" si="11"/>
        <v/>
      </c>
      <c r="B759" s="7"/>
      <c r="C759" s="7"/>
      <c r="D759" s="7"/>
      <c r="E759" s="7"/>
      <c r="F759" s="7"/>
      <c r="G759" s="7"/>
      <c r="H759" s="7"/>
      <c r="I759" s="7"/>
      <c r="J759" s="7"/>
      <c r="K759" s="7"/>
    </row>
    <row r="760" spans="1:11" ht="15.75" customHeight="1">
      <c r="A760" s="7" t="str">
        <f t="shared" si="11"/>
        <v/>
      </c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 spans="1:11" ht="15.75" customHeight="1">
      <c r="A761" s="7" t="str">
        <f t="shared" si="11"/>
        <v/>
      </c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 spans="1:11" ht="15.75" customHeight="1">
      <c r="A762" s="7" t="str">
        <f t="shared" si="11"/>
        <v/>
      </c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 spans="1:11" ht="15.75" customHeight="1">
      <c r="A763" s="7" t="str">
        <f t="shared" si="11"/>
        <v/>
      </c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 spans="1:11" ht="15.75" customHeight="1">
      <c r="A764" s="7" t="str">
        <f t="shared" si="11"/>
        <v/>
      </c>
      <c r="B764" s="7"/>
      <c r="C764" s="7"/>
      <c r="D764" s="7"/>
      <c r="E764" s="7"/>
      <c r="F764" s="7"/>
      <c r="G764" s="7"/>
      <c r="H764" s="7"/>
      <c r="I764" s="7"/>
      <c r="J764" s="7"/>
      <c r="K764" s="7"/>
    </row>
    <row r="765" spans="1:11" ht="15.75" customHeight="1">
      <c r="A765" s="7" t="str">
        <f t="shared" si="11"/>
        <v/>
      </c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 spans="1:11" ht="15.75" customHeight="1">
      <c r="A766" s="7" t="str">
        <f t="shared" si="11"/>
        <v/>
      </c>
      <c r="B766" s="7"/>
      <c r="C766" s="7"/>
      <c r="D766" s="7"/>
      <c r="E766" s="7"/>
      <c r="F766" s="7"/>
      <c r="G766" s="7"/>
      <c r="H766" s="7"/>
      <c r="I766" s="7"/>
      <c r="J766" s="7"/>
      <c r="K766" s="7"/>
    </row>
    <row r="767" spans="1:11" ht="15.75" customHeight="1">
      <c r="A767" s="7" t="str">
        <f t="shared" si="11"/>
        <v/>
      </c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 spans="1:11" ht="15.75" customHeight="1">
      <c r="A768" s="7" t="str">
        <f t="shared" si="11"/>
        <v/>
      </c>
      <c r="B768" s="7"/>
      <c r="C768" s="7"/>
      <c r="D768" s="7"/>
      <c r="E768" s="7"/>
      <c r="F768" s="7"/>
      <c r="G768" s="7"/>
      <c r="H768" s="7"/>
      <c r="I768" s="7"/>
      <c r="J768" s="7"/>
      <c r="K768" s="7"/>
    </row>
    <row r="769" spans="1:11" ht="15.75" customHeight="1">
      <c r="A769" s="7" t="str">
        <f t="shared" si="11"/>
        <v/>
      </c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 spans="1:11" ht="15.75" customHeight="1">
      <c r="A770" s="7" t="str">
        <f t="shared" si="11"/>
        <v/>
      </c>
      <c r="B770" s="7"/>
      <c r="C770" s="7"/>
      <c r="D770" s="7"/>
      <c r="E770" s="7"/>
      <c r="F770" s="7"/>
      <c r="G770" s="7"/>
      <c r="H770" s="7"/>
      <c r="I770" s="7"/>
      <c r="J770" s="7"/>
      <c r="K770" s="7"/>
    </row>
    <row r="771" spans="1:11" ht="15.75" customHeight="1">
      <c r="A771" s="7" t="str">
        <f t="shared" si="11"/>
        <v/>
      </c>
      <c r="B771" s="7"/>
      <c r="C771" s="7"/>
      <c r="D771" s="7"/>
      <c r="E771" s="7"/>
      <c r="F771" s="7"/>
      <c r="G771" s="7"/>
      <c r="H771" s="7"/>
      <c r="I771" s="7"/>
      <c r="J771" s="7"/>
      <c r="K771" s="7"/>
    </row>
    <row r="772" spans="1:11" ht="15.75" customHeight="1">
      <c r="A772" s="7" t="str">
        <f t="shared" si="11"/>
        <v/>
      </c>
      <c r="B772" s="7"/>
      <c r="C772" s="7"/>
      <c r="D772" s="7"/>
      <c r="E772" s="7"/>
      <c r="F772" s="7"/>
      <c r="G772" s="7"/>
      <c r="H772" s="7"/>
      <c r="I772" s="7"/>
      <c r="J772" s="7"/>
      <c r="K772" s="7"/>
    </row>
    <row r="773" spans="1:11" ht="15.75" customHeight="1">
      <c r="A773" s="7" t="str">
        <f t="shared" ref="A773:A836" si="12">IF(B773="","","EXE-"&amp;TEXT(ROW()-4,"0000"))</f>
        <v/>
      </c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 spans="1:11" ht="15.75" customHeight="1">
      <c r="A774" s="7" t="str">
        <f t="shared" si="12"/>
        <v/>
      </c>
      <c r="B774" s="7"/>
      <c r="C774" s="7"/>
      <c r="D774" s="7"/>
      <c r="E774" s="7"/>
      <c r="F774" s="7"/>
      <c r="G774" s="7"/>
      <c r="H774" s="7"/>
      <c r="I774" s="7"/>
      <c r="J774" s="7"/>
      <c r="K774" s="7"/>
    </row>
    <row r="775" spans="1:11" ht="15.75" customHeight="1">
      <c r="A775" s="7" t="str">
        <f t="shared" si="12"/>
        <v/>
      </c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 spans="1:11" ht="15.75" customHeight="1">
      <c r="A776" s="7" t="str">
        <f t="shared" si="12"/>
        <v/>
      </c>
      <c r="B776" s="7"/>
      <c r="C776" s="7"/>
      <c r="D776" s="7"/>
      <c r="E776" s="7"/>
      <c r="F776" s="7"/>
      <c r="G776" s="7"/>
      <c r="H776" s="7"/>
      <c r="I776" s="7"/>
      <c r="J776" s="7"/>
      <c r="K776" s="7"/>
    </row>
    <row r="777" spans="1:11" ht="15.75" customHeight="1">
      <c r="A777" s="7" t="str">
        <f t="shared" si="12"/>
        <v/>
      </c>
      <c r="B777" s="7"/>
      <c r="C777" s="7"/>
      <c r="D777" s="7"/>
      <c r="E777" s="7"/>
      <c r="F777" s="7"/>
      <c r="G777" s="7"/>
      <c r="H777" s="7"/>
      <c r="I777" s="7"/>
      <c r="J777" s="7"/>
      <c r="K777" s="7"/>
    </row>
    <row r="778" spans="1:11" ht="15.75" customHeight="1">
      <c r="A778" s="7" t="str">
        <f t="shared" si="12"/>
        <v/>
      </c>
      <c r="B778" s="7"/>
      <c r="C778" s="7"/>
      <c r="D778" s="7"/>
      <c r="E778" s="7"/>
      <c r="F778" s="7"/>
      <c r="G778" s="7"/>
      <c r="H778" s="7"/>
      <c r="I778" s="7"/>
      <c r="J778" s="7"/>
      <c r="K778" s="7"/>
    </row>
    <row r="779" spans="1:11" ht="15.75" customHeight="1">
      <c r="A779" s="7" t="str">
        <f t="shared" si="12"/>
        <v/>
      </c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 spans="1:11" ht="15.75" customHeight="1">
      <c r="A780" s="7" t="str">
        <f t="shared" si="12"/>
        <v/>
      </c>
      <c r="B780" s="7"/>
      <c r="C780" s="7"/>
      <c r="D780" s="7"/>
      <c r="E780" s="7"/>
      <c r="F780" s="7"/>
      <c r="G780" s="7"/>
      <c r="H780" s="7"/>
      <c r="I780" s="7"/>
      <c r="J780" s="7"/>
      <c r="K780" s="7"/>
    </row>
    <row r="781" spans="1:11" ht="15.75" customHeight="1">
      <c r="A781" s="7" t="str">
        <f t="shared" si="12"/>
        <v/>
      </c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 spans="1:11" ht="15.75" customHeight="1">
      <c r="A782" s="7" t="str">
        <f t="shared" si="12"/>
        <v/>
      </c>
      <c r="B782" s="7"/>
      <c r="C782" s="7"/>
      <c r="D782" s="7"/>
      <c r="E782" s="7"/>
      <c r="F782" s="7"/>
      <c r="G782" s="7"/>
      <c r="H782" s="7"/>
      <c r="I782" s="7"/>
      <c r="J782" s="7"/>
      <c r="K782" s="7"/>
    </row>
    <row r="783" spans="1:11" ht="15.75" customHeight="1">
      <c r="A783" s="7" t="str">
        <f t="shared" si="12"/>
        <v/>
      </c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 spans="1:11" ht="15.75" customHeight="1">
      <c r="A784" s="7" t="str">
        <f t="shared" si="12"/>
        <v/>
      </c>
      <c r="B784" s="7"/>
      <c r="C784" s="7"/>
      <c r="D784" s="7"/>
      <c r="E784" s="7"/>
      <c r="F784" s="7"/>
      <c r="G784" s="7"/>
      <c r="H784" s="7"/>
      <c r="I784" s="7"/>
      <c r="J784" s="7"/>
      <c r="K784" s="7"/>
    </row>
    <row r="785" spans="1:11" ht="15.75" customHeight="1">
      <c r="A785" s="7" t="str">
        <f t="shared" si="12"/>
        <v/>
      </c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 spans="1:11" ht="15.75" customHeight="1">
      <c r="A786" s="7" t="str">
        <f t="shared" si="12"/>
        <v/>
      </c>
      <c r="B786" s="7"/>
      <c r="C786" s="7"/>
      <c r="D786" s="7"/>
      <c r="E786" s="7"/>
      <c r="F786" s="7"/>
      <c r="G786" s="7"/>
      <c r="H786" s="7"/>
      <c r="I786" s="7"/>
      <c r="J786" s="7"/>
      <c r="K786" s="7"/>
    </row>
    <row r="787" spans="1:11" ht="15.75" customHeight="1">
      <c r="A787" s="7" t="str">
        <f t="shared" si="12"/>
        <v/>
      </c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 spans="1:11" ht="15.75" customHeight="1">
      <c r="A788" s="7" t="str">
        <f t="shared" si="12"/>
        <v/>
      </c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 spans="1:11" ht="15.75" customHeight="1">
      <c r="A789" s="7" t="str">
        <f t="shared" si="12"/>
        <v/>
      </c>
      <c r="B789" s="7"/>
      <c r="C789" s="7"/>
      <c r="D789" s="7"/>
      <c r="E789" s="7"/>
      <c r="F789" s="7"/>
      <c r="G789" s="7"/>
      <c r="H789" s="7"/>
      <c r="I789" s="7"/>
      <c r="J789" s="7"/>
      <c r="K789" s="7"/>
    </row>
    <row r="790" spans="1:11" ht="15.75" customHeight="1">
      <c r="A790" s="7" t="str">
        <f t="shared" si="12"/>
        <v/>
      </c>
      <c r="B790" s="7"/>
      <c r="C790" s="7"/>
      <c r="D790" s="7"/>
      <c r="E790" s="7"/>
      <c r="F790" s="7"/>
      <c r="G790" s="7"/>
      <c r="H790" s="7"/>
      <c r="I790" s="7"/>
      <c r="J790" s="7"/>
      <c r="K790" s="7"/>
    </row>
    <row r="791" spans="1:11" ht="15.75" customHeight="1">
      <c r="A791" s="7" t="str">
        <f t="shared" si="12"/>
        <v/>
      </c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 spans="1:11" ht="15.75" customHeight="1">
      <c r="A792" s="7" t="str">
        <f t="shared" si="12"/>
        <v/>
      </c>
      <c r="B792" s="7"/>
      <c r="C792" s="7"/>
      <c r="D792" s="7"/>
      <c r="E792" s="7"/>
      <c r="F792" s="7"/>
      <c r="G792" s="7"/>
      <c r="H792" s="7"/>
      <c r="I792" s="7"/>
      <c r="J792" s="7"/>
      <c r="K792" s="7"/>
    </row>
    <row r="793" spans="1:11" ht="15.75" customHeight="1">
      <c r="A793" s="7" t="str">
        <f t="shared" si="12"/>
        <v/>
      </c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 spans="1:11" ht="15.75" customHeight="1">
      <c r="A794" s="7" t="str">
        <f t="shared" si="12"/>
        <v/>
      </c>
      <c r="B794" s="7"/>
      <c r="C794" s="7"/>
      <c r="D794" s="7"/>
      <c r="E794" s="7"/>
      <c r="F794" s="7"/>
      <c r="G794" s="7"/>
      <c r="H794" s="7"/>
      <c r="I794" s="7"/>
      <c r="J794" s="7"/>
      <c r="K794" s="7"/>
    </row>
    <row r="795" spans="1:11" ht="15.75" customHeight="1">
      <c r="A795" s="7" t="str">
        <f t="shared" si="12"/>
        <v/>
      </c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 spans="1:11" ht="15.75" customHeight="1">
      <c r="A796" s="7" t="str">
        <f t="shared" si="12"/>
        <v/>
      </c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 spans="1:11" ht="15.75" customHeight="1">
      <c r="A797" s="7" t="str">
        <f t="shared" si="12"/>
        <v/>
      </c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 spans="1:11" ht="15.75" customHeight="1">
      <c r="A798" s="7" t="str">
        <f t="shared" si="12"/>
        <v/>
      </c>
      <c r="B798" s="7"/>
      <c r="C798" s="7"/>
      <c r="D798" s="7"/>
      <c r="E798" s="7"/>
      <c r="F798" s="7"/>
      <c r="G798" s="7"/>
      <c r="H798" s="7"/>
      <c r="I798" s="7"/>
      <c r="J798" s="7"/>
      <c r="K798" s="7"/>
    </row>
    <row r="799" spans="1:11" ht="15.75" customHeight="1">
      <c r="A799" s="7" t="str">
        <f t="shared" si="12"/>
        <v/>
      </c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 spans="1:11" ht="15.75" customHeight="1">
      <c r="A800" s="7" t="str">
        <f t="shared" si="12"/>
        <v/>
      </c>
      <c r="B800" s="7"/>
      <c r="C800" s="7"/>
      <c r="D800" s="7"/>
      <c r="E800" s="7"/>
      <c r="F800" s="7"/>
      <c r="G800" s="7"/>
      <c r="H800" s="7"/>
      <c r="I800" s="7"/>
      <c r="J800" s="7"/>
      <c r="K800" s="7"/>
    </row>
    <row r="801" spans="1:11" ht="15.75" customHeight="1">
      <c r="A801" s="7" t="str">
        <f t="shared" si="12"/>
        <v/>
      </c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 spans="1:11" ht="15.75" customHeight="1">
      <c r="A802" s="7" t="str">
        <f t="shared" si="12"/>
        <v/>
      </c>
      <c r="B802" s="7"/>
      <c r="C802" s="7"/>
      <c r="D802" s="7"/>
      <c r="E802" s="7"/>
      <c r="F802" s="7"/>
      <c r="G802" s="7"/>
      <c r="H802" s="7"/>
      <c r="I802" s="7"/>
      <c r="J802" s="7"/>
      <c r="K802" s="7"/>
    </row>
    <row r="803" spans="1:11" ht="15.75" customHeight="1">
      <c r="A803" s="7" t="str">
        <f t="shared" si="12"/>
        <v/>
      </c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 spans="1:11" ht="15.75" customHeight="1">
      <c r="A804" s="7" t="str">
        <f t="shared" si="12"/>
        <v/>
      </c>
      <c r="B804" s="7"/>
      <c r="C804" s="7"/>
      <c r="D804" s="7"/>
      <c r="E804" s="7"/>
      <c r="F804" s="7"/>
      <c r="G804" s="7"/>
      <c r="H804" s="7"/>
      <c r="I804" s="7"/>
      <c r="J804" s="7"/>
      <c r="K804" s="7"/>
    </row>
    <row r="805" spans="1:11" ht="15.75" customHeight="1">
      <c r="A805" s="7" t="str">
        <f t="shared" si="12"/>
        <v/>
      </c>
      <c r="B805" s="7"/>
      <c r="C805" s="7"/>
      <c r="D805" s="7"/>
      <c r="E805" s="7"/>
      <c r="F805" s="7"/>
      <c r="G805" s="7"/>
      <c r="H805" s="7"/>
      <c r="I805" s="7"/>
      <c r="J805" s="7"/>
      <c r="K805" s="7"/>
    </row>
    <row r="806" spans="1:11" ht="15.75" customHeight="1">
      <c r="A806" s="7" t="str">
        <f t="shared" si="12"/>
        <v/>
      </c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 spans="1:11" ht="15.75" customHeight="1">
      <c r="A807" s="7" t="str">
        <f t="shared" si="12"/>
        <v/>
      </c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 spans="1:11" ht="15.75" customHeight="1">
      <c r="A808" s="7" t="str">
        <f t="shared" si="12"/>
        <v/>
      </c>
      <c r="B808" s="7"/>
      <c r="C808" s="7"/>
      <c r="D808" s="7"/>
      <c r="E808" s="7"/>
      <c r="F808" s="7"/>
      <c r="G808" s="7"/>
      <c r="H808" s="7"/>
      <c r="I808" s="7"/>
      <c r="J808" s="7"/>
      <c r="K808" s="7"/>
    </row>
    <row r="809" spans="1:11" ht="15.75" customHeight="1">
      <c r="A809" s="7" t="str">
        <f t="shared" si="12"/>
        <v/>
      </c>
      <c r="B809" s="7"/>
      <c r="C809" s="7"/>
      <c r="D809" s="7"/>
      <c r="E809" s="7"/>
      <c r="F809" s="7"/>
      <c r="G809" s="7"/>
      <c r="H809" s="7"/>
      <c r="I809" s="7"/>
      <c r="J809" s="7"/>
      <c r="K809" s="7"/>
    </row>
    <row r="810" spans="1:11" ht="15.75" customHeight="1">
      <c r="A810" s="7" t="str">
        <f t="shared" si="12"/>
        <v/>
      </c>
      <c r="B810" s="7"/>
      <c r="C810" s="7"/>
      <c r="D810" s="7"/>
      <c r="E810" s="7"/>
      <c r="F810" s="7"/>
      <c r="G810" s="7"/>
      <c r="H810" s="7"/>
      <c r="I810" s="7"/>
      <c r="J810" s="7"/>
      <c r="K810" s="7"/>
    </row>
    <row r="811" spans="1:11" ht="15.75" customHeight="1">
      <c r="A811" s="7" t="str">
        <f t="shared" si="12"/>
        <v/>
      </c>
      <c r="B811" s="7"/>
      <c r="C811" s="7"/>
      <c r="D811" s="7"/>
      <c r="E811" s="7"/>
      <c r="F811" s="7"/>
      <c r="G811" s="7"/>
      <c r="H811" s="7"/>
      <c r="I811" s="7"/>
      <c r="J811" s="7"/>
      <c r="K811" s="7"/>
    </row>
    <row r="812" spans="1:11" ht="15.75" customHeight="1">
      <c r="A812" s="7" t="str">
        <f t="shared" si="12"/>
        <v/>
      </c>
      <c r="B812" s="7"/>
      <c r="C812" s="7"/>
      <c r="D812" s="7"/>
      <c r="E812" s="7"/>
      <c r="F812" s="7"/>
      <c r="G812" s="7"/>
      <c r="H812" s="7"/>
      <c r="I812" s="7"/>
      <c r="J812" s="7"/>
      <c r="K812" s="7"/>
    </row>
    <row r="813" spans="1:11" ht="15.75" customHeight="1">
      <c r="A813" s="7" t="str">
        <f t="shared" si="12"/>
        <v/>
      </c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 spans="1:11" ht="15.75" customHeight="1">
      <c r="A814" s="7" t="str">
        <f t="shared" si="12"/>
        <v/>
      </c>
      <c r="B814" s="7"/>
      <c r="C814" s="7"/>
      <c r="D814" s="7"/>
      <c r="E814" s="7"/>
      <c r="F814" s="7"/>
      <c r="G814" s="7"/>
      <c r="H814" s="7"/>
      <c r="I814" s="7"/>
      <c r="J814" s="7"/>
      <c r="K814" s="7"/>
    </row>
    <row r="815" spans="1:11" ht="15.75" customHeight="1">
      <c r="A815" s="7" t="str">
        <f t="shared" si="12"/>
        <v/>
      </c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 spans="1:11" ht="15.75" customHeight="1">
      <c r="A816" s="7" t="str">
        <f t="shared" si="12"/>
        <v/>
      </c>
      <c r="B816" s="7"/>
      <c r="C816" s="7"/>
      <c r="D816" s="7"/>
      <c r="E816" s="7"/>
      <c r="F816" s="7"/>
      <c r="G816" s="7"/>
      <c r="H816" s="7"/>
      <c r="I816" s="7"/>
      <c r="J816" s="7"/>
      <c r="K816" s="7"/>
    </row>
    <row r="817" spans="1:11" ht="15.75" customHeight="1">
      <c r="A817" s="7" t="str">
        <f t="shared" si="12"/>
        <v/>
      </c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 spans="1:11" ht="15.75" customHeight="1">
      <c r="A818" s="7" t="str">
        <f t="shared" si="12"/>
        <v/>
      </c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 spans="1:11" ht="15.75" customHeight="1">
      <c r="A819" s="7" t="str">
        <f t="shared" si="12"/>
        <v/>
      </c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 spans="1:11" ht="15.75" customHeight="1">
      <c r="A820" s="7" t="str">
        <f t="shared" si="12"/>
        <v/>
      </c>
      <c r="B820" s="7"/>
      <c r="C820" s="7"/>
      <c r="D820" s="7"/>
      <c r="E820" s="7"/>
      <c r="F820" s="7"/>
      <c r="G820" s="7"/>
      <c r="H820" s="7"/>
      <c r="I820" s="7"/>
      <c r="J820" s="7"/>
      <c r="K820" s="7"/>
    </row>
    <row r="821" spans="1:11" ht="15.75" customHeight="1">
      <c r="A821" s="7" t="str">
        <f t="shared" si="12"/>
        <v/>
      </c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 spans="1:11" ht="15.75" customHeight="1">
      <c r="A822" s="7" t="str">
        <f t="shared" si="12"/>
        <v/>
      </c>
      <c r="B822" s="7"/>
      <c r="C822" s="7"/>
      <c r="D822" s="7"/>
      <c r="E822" s="7"/>
      <c r="F822" s="7"/>
      <c r="G822" s="7"/>
      <c r="H822" s="7"/>
      <c r="I822" s="7"/>
      <c r="J822" s="7"/>
      <c r="K822" s="7"/>
    </row>
    <row r="823" spans="1:11" ht="15.75" customHeight="1">
      <c r="A823" s="7" t="str">
        <f t="shared" si="12"/>
        <v/>
      </c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 spans="1:11" ht="15.75" customHeight="1">
      <c r="A824" s="7" t="str">
        <f t="shared" si="12"/>
        <v/>
      </c>
      <c r="B824" s="7"/>
      <c r="C824" s="7"/>
      <c r="D824" s="7"/>
      <c r="E824" s="7"/>
      <c r="F824" s="7"/>
      <c r="G824" s="7"/>
      <c r="H824" s="7"/>
      <c r="I824" s="7"/>
      <c r="J824" s="7"/>
      <c r="K824" s="7"/>
    </row>
    <row r="825" spans="1:11" ht="15.75" customHeight="1">
      <c r="A825" s="7" t="str">
        <f t="shared" si="12"/>
        <v/>
      </c>
      <c r="B825" s="7"/>
      <c r="C825" s="7"/>
      <c r="D825" s="7"/>
      <c r="E825" s="7"/>
      <c r="F825" s="7"/>
      <c r="G825" s="7"/>
      <c r="H825" s="7"/>
      <c r="I825" s="7"/>
      <c r="J825" s="7"/>
      <c r="K825" s="7"/>
    </row>
    <row r="826" spans="1:11" ht="15.75" customHeight="1">
      <c r="A826" s="7" t="str">
        <f t="shared" si="12"/>
        <v/>
      </c>
      <c r="B826" s="7"/>
      <c r="C826" s="7"/>
      <c r="D826" s="7"/>
      <c r="E826" s="7"/>
      <c r="F826" s="7"/>
      <c r="G826" s="7"/>
      <c r="H826" s="7"/>
      <c r="I826" s="7"/>
      <c r="J826" s="7"/>
      <c r="K826" s="7"/>
    </row>
    <row r="827" spans="1:11" ht="15.75" customHeight="1">
      <c r="A827" s="7" t="str">
        <f t="shared" si="12"/>
        <v/>
      </c>
      <c r="B827" s="7"/>
      <c r="C827" s="7"/>
      <c r="D827" s="7"/>
      <c r="E827" s="7"/>
      <c r="F827" s="7"/>
      <c r="G827" s="7"/>
      <c r="H827" s="7"/>
      <c r="I827" s="7"/>
      <c r="J827" s="7"/>
      <c r="K827" s="7"/>
    </row>
    <row r="828" spans="1:11" ht="15.75" customHeight="1">
      <c r="A828" s="7" t="str">
        <f t="shared" si="12"/>
        <v/>
      </c>
      <c r="B828" s="7"/>
      <c r="C828" s="7"/>
      <c r="D828" s="7"/>
      <c r="E828" s="7"/>
      <c r="F828" s="7"/>
      <c r="G828" s="7"/>
      <c r="H828" s="7"/>
      <c r="I828" s="7"/>
      <c r="J828" s="7"/>
      <c r="K828" s="7"/>
    </row>
    <row r="829" spans="1:11" ht="15.75" customHeight="1">
      <c r="A829" s="7" t="str">
        <f t="shared" si="12"/>
        <v/>
      </c>
      <c r="B829" s="7"/>
      <c r="C829" s="7"/>
      <c r="D829" s="7"/>
      <c r="E829" s="7"/>
      <c r="F829" s="7"/>
      <c r="G829" s="7"/>
      <c r="H829" s="7"/>
      <c r="I829" s="7"/>
      <c r="J829" s="7"/>
      <c r="K829" s="7"/>
    </row>
    <row r="830" spans="1:11" ht="15.75" customHeight="1">
      <c r="A830" s="7" t="str">
        <f t="shared" si="12"/>
        <v/>
      </c>
      <c r="B830" s="7"/>
      <c r="C830" s="7"/>
      <c r="D830" s="7"/>
      <c r="E830" s="7"/>
      <c r="F830" s="7"/>
      <c r="G830" s="7"/>
      <c r="H830" s="7"/>
      <c r="I830" s="7"/>
      <c r="J830" s="7"/>
      <c r="K830" s="7"/>
    </row>
    <row r="831" spans="1:11" ht="15.75" customHeight="1">
      <c r="A831" s="7" t="str">
        <f t="shared" si="12"/>
        <v/>
      </c>
      <c r="B831" s="7"/>
      <c r="C831" s="7"/>
      <c r="D831" s="7"/>
      <c r="E831" s="7"/>
      <c r="F831" s="7"/>
      <c r="G831" s="7"/>
      <c r="H831" s="7"/>
      <c r="I831" s="7"/>
      <c r="J831" s="7"/>
      <c r="K831" s="7"/>
    </row>
    <row r="832" spans="1:11" ht="15.75" customHeight="1">
      <c r="A832" s="7" t="str">
        <f t="shared" si="12"/>
        <v/>
      </c>
      <c r="B832" s="7"/>
      <c r="C832" s="7"/>
      <c r="D832" s="7"/>
      <c r="E832" s="7"/>
      <c r="F832" s="7"/>
      <c r="G832" s="7"/>
      <c r="H832" s="7"/>
      <c r="I832" s="7"/>
      <c r="J832" s="7"/>
      <c r="K832" s="7"/>
    </row>
    <row r="833" spans="1:11" ht="15.75" customHeight="1">
      <c r="A833" s="7" t="str">
        <f t="shared" si="12"/>
        <v/>
      </c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 spans="1:11" ht="15.75" customHeight="1">
      <c r="A834" s="7" t="str">
        <f t="shared" si="12"/>
        <v/>
      </c>
      <c r="B834" s="7"/>
      <c r="C834" s="7"/>
      <c r="D834" s="7"/>
      <c r="E834" s="7"/>
      <c r="F834" s="7"/>
      <c r="G834" s="7"/>
      <c r="H834" s="7"/>
      <c r="I834" s="7"/>
      <c r="J834" s="7"/>
      <c r="K834" s="7"/>
    </row>
    <row r="835" spans="1:11" ht="15.75" customHeight="1">
      <c r="A835" s="7" t="str">
        <f t="shared" si="12"/>
        <v/>
      </c>
      <c r="B835" s="7"/>
      <c r="C835" s="7"/>
      <c r="D835" s="7"/>
      <c r="E835" s="7"/>
      <c r="F835" s="7"/>
      <c r="G835" s="7"/>
      <c r="H835" s="7"/>
      <c r="I835" s="7"/>
      <c r="J835" s="7"/>
      <c r="K835" s="7"/>
    </row>
    <row r="836" spans="1:11" ht="15.75" customHeight="1">
      <c r="A836" s="7" t="str">
        <f t="shared" si="12"/>
        <v/>
      </c>
      <c r="B836" s="7"/>
      <c r="C836" s="7"/>
      <c r="D836" s="7"/>
      <c r="E836" s="7"/>
      <c r="F836" s="7"/>
      <c r="G836" s="7"/>
      <c r="H836" s="7"/>
      <c r="I836" s="7"/>
      <c r="J836" s="7"/>
      <c r="K836" s="7"/>
    </row>
    <row r="837" spans="1:11" ht="15.75" customHeight="1">
      <c r="A837" s="7" t="str">
        <f t="shared" ref="A837:A900" si="13">IF(B837="","","EXE-"&amp;TEXT(ROW()-4,"0000"))</f>
        <v/>
      </c>
      <c r="B837" s="7"/>
      <c r="C837" s="7"/>
      <c r="D837" s="7"/>
      <c r="E837" s="7"/>
      <c r="F837" s="7"/>
      <c r="G837" s="7"/>
      <c r="H837" s="7"/>
      <c r="I837" s="7"/>
      <c r="J837" s="7"/>
      <c r="K837" s="7"/>
    </row>
    <row r="838" spans="1:11" ht="15.75" customHeight="1">
      <c r="A838" s="7" t="str">
        <f t="shared" si="13"/>
        <v/>
      </c>
      <c r="B838" s="7"/>
      <c r="C838" s="7"/>
      <c r="D838" s="7"/>
      <c r="E838" s="7"/>
      <c r="F838" s="7"/>
      <c r="G838" s="7"/>
      <c r="H838" s="7"/>
      <c r="I838" s="7"/>
      <c r="J838" s="7"/>
      <c r="K838" s="7"/>
    </row>
    <row r="839" spans="1:11" ht="15.75" customHeight="1">
      <c r="A839" s="7" t="str">
        <f t="shared" si="13"/>
        <v/>
      </c>
      <c r="B839" s="7"/>
      <c r="C839" s="7"/>
      <c r="D839" s="7"/>
      <c r="E839" s="7"/>
      <c r="F839" s="7"/>
      <c r="G839" s="7"/>
      <c r="H839" s="7"/>
      <c r="I839" s="7"/>
      <c r="J839" s="7"/>
      <c r="K839" s="7"/>
    </row>
    <row r="840" spans="1:11" ht="15.75" customHeight="1">
      <c r="A840" s="7" t="str">
        <f t="shared" si="13"/>
        <v/>
      </c>
      <c r="B840" s="7"/>
      <c r="C840" s="7"/>
      <c r="D840" s="7"/>
      <c r="E840" s="7"/>
      <c r="F840" s="7"/>
      <c r="G840" s="7"/>
      <c r="H840" s="7"/>
      <c r="I840" s="7"/>
      <c r="J840" s="7"/>
      <c r="K840" s="7"/>
    </row>
    <row r="841" spans="1:11" ht="15.75" customHeight="1">
      <c r="A841" s="7" t="str">
        <f t="shared" si="13"/>
        <v/>
      </c>
      <c r="B841" s="7"/>
      <c r="C841" s="7"/>
      <c r="D841" s="7"/>
      <c r="E841" s="7"/>
      <c r="F841" s="7"/>
      <c r="G841" s="7"/>
      <c r="H841" s="7"/>
      <c r="I841" s="7"/>
      <c r="J841" s="7"/>
      <c r="K841" s="7"/>
    </row>
    <row r="842" spans="1:11" ht="15.75" customHeight="1">
      <c r="A842" s="7" t="str">
        <f t="shared" si="13"/>
        <v/>
      </c>
      <c r="B842" s="7"/>
      <c r="C842" s="7"/>
      <c r="D842" s="7"/>
      <c r="E842" s="7"/>
      <c r="F842" s="7"/>
      <c r="G842" s="7"/>
      <c r="H842" s="7"/>
      <c r="I842" s="7"/>
      <c r="J842" s="7"/>
      <c r="K842" s="7"/>
    </row>
    <row r="843" spans="1:11" ht="15.75" customHeight="1">
      <c r="A843" s="7" t="str">
        <f t="shared" si="13"/>
        <v/>
      </c>
      <c r="B843" s="7"/>
      <c r="C843" s="7"/>
      <c r="D843" s="7"/>
      <c r="E843" s="7"/>
      <c r="F843" s="7"/>
      <c r="G843" s="7"/>
      <c r="H843" s="7"/>
      <c r="I843" s="7"/>
      <c r="J843" s="7"/>
      <c r="K843" s="7"/>
    </row>
    <row r="844" spans="1:11" ht="15.75" customHeight="1">
      <c r="A844" s="7" t="str">
        <f t="shared" si="13"/>
        <v/>
      </c>
      <c r="B844" s="7"/>
      <c r="C844" s="7"/>
      <c r="D844" s="7"/>
      <c r="E844" s="7"/>
      <c r="F844" s="7"/>
      <c r="G844" s="7"/>
      <c r="H844" s="7"/>
      <c r="I844" s="7"/>
      <c r="J844" s="7"/>
      <c r="K844" s="7"/>
    </row>
    <row r="845" spans="1:11" ht="15.75" customHeight="1">
      <c r="A845" s="7" t="str">
        <f t="shared" si="13"/>
        <v/>
      </c>
      <c r="B845" s="7"/>
      <c r="C845" s="7"/>
      <c r="D845" s="7"/>
      <c r="E845" s="7"/>
      <c r="F845" s="7"/>
      <c r="G845" s="7"/>
      <c r="H845" s="7"/>
      <c r="I845" s="7"/>
      <c r="J845" s="7"/>
      <c r="K845" s="7"/>
    </row>
    <row r="846" spans="1:11" ht="15.75" customHeight="1">
      <c r="A846" s="7" t="str">
        <f t="shared" si="13"/>
        <v/>
      </c>
      <c r="B846" s="7"/>
      <c r="C846" s="7"/>
      <c r="D846" s="7"/>
      <c r="E846" s="7"/>
      <c r="F846" s="7"/>
      <c r="G846" s="7"/>
      <c r="H846" s="7"/>
      <c r="I846" s="7"/>
      <c r="J846" s="7"/>
      <c r="K846" s="7"/>
    </row>
    <row r="847" spans="1:11" ht="15.75" customHeight="1">
      <c r="A847" s="7" t="str">
        <f t="shared" si="13"/>
        <v/>
      </c>
      <c r="B847" s="7"/>
      <c r="C847" s="7"/>
      <c r="D847" s="7"/>
      <c r="E847" s="7"/>
      <c r="F847" s="7"/>
      <c r="G847" s="7"/>
      <c r="H847" s="7"/>
      <c r="I847" s="7"/>
      <c r="J847" s="7"/>
      <c r="K847" s="7"/>
    </row>
    <row r="848" spans="1:11" ht="15.75" customHeight="1">
      <c r="A848" s="7" t="str">
        <f t="shared" si="13"/>
        <v/>
      </c>
      <c r="B848" s="7"/>
      <c r="C848" s="7"/>
      <c r="D848" s="7"/>
      <c r="E848" s="7"/>
      <c r="F848" s="7"/>
      <c r="G848" s="7"/>
      <c r="H848" s="7"/>
      <c r="I848" s="7"/>
      <c r="J848" s="7"/>
      <c r="K848" s="7"/>
    </row>
    <row r="849" spans="1:11" ht="15.75" customHeight="1">
      <c r="A849" s="7" t="str">
        <f t="shared" si="13"/>
        <v/>
      </c>
      <c r="B849" s="7"/>
      <c r="C849" s="7"/>
      <c r="D849" s="7"/>
      <c r="E849" s="7"/>
      <c r="F849" s="7"/>
      <c r="G849" s="7"/>
      <c r="H849" s="7"/>
      <c r="I849" s="7"/>
      <c r="J849" s="7"/>
      <c r="K849" s="7"/>
    </row>
    <row r="850" spans="1:11" ht="15.75" customHeight="1">
      <c r="A850" s="7" t="str">
        <f t="shared" si="13"/>
        <v/>
      </c>
      <c r="B850" s="7"/>
      <c r="C850" s="7"/>
      <c r="D850" s="7"/>
      <c r="E850" s="7"/>
      <c r="F850" s="7"/>
      <c r="G850" s="7"/>
      <c r="H850" s="7"/>
      <c r="I850" s="7"/>
      <c r="J850" s="7"/>
      <c r="K850" s="7"/>
    </row>
    <row r="851" spans="1:11" ht="15.75" customHeight="1">
      <c r="A851" s="7" t="str">
        <f t="shared" si="13"/>
        <v/>
      </c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 spans="1:11" ht="15.75" customHeight="1">
      <c r="A852" s="7" t="str">
        <f t="shared" si="13"/>
        <v/>
      </c>
      <c r="B852" s="7"/>
      <c r="C852" s="7"/>
      <c r="D852" s="7"/>
      <c r="E852" s="7"/>
      <c r="F852" s="7"/>
      <c r="G852" s="7"/>
      <c r="H852" s="7"/>
      <c r="I852" s="7"/>
      <c r="J852" s="7"/>
      <c r="K852" s="7"/>
    </row>
    <row r="853" spans="1:11" ht="15.75" customHeight="1">
      <c r="A853" s="7" t="str">
        <f t="shared" si="13"/>
        <v/>
      </c>
      <c r="B853" s="7"/>
      <c r="C853" s="7"/>
      <c r="D853" s="7"/>
      <c r="E853" s="7"/>
      <c r="F853" s="7"/>
      <c r="G853" s="7"/>
      <c r="H853" s="7"/>
      <c r="I853" s="7"/>
      <c r="J853" s="7"/>
      <c r="K853" s="7"/>
    </row>
    <row r="854" spans="1:11" ht="15.75" customHeight="1">
      <c r="A854" s="7" t="str">
        <f t="shared" si="13"/>
        <v/>
      </c>
      <c r="B854" s="7"/>
      <c r="C854" s="7"/>
      <c r="D854" s="7"/>
      <c r="E854" s="7"/>
      <c r="F854" s="7"/>
      <c r="G854" s="7"/>
      <c r="H854" s="7"/>
      <c r="I854" s="7"/>
      <c r="J854" s="7"/>
      <c r="K854" s="7"/>
    </row>
    <row r="855" spans="1:11" ht="15.75" customHeight="1">
      <c r="A855" s="7" t="str">
        <f t="shared" si="13"/>
        <v/>
      </c>
      <c r="B855" s="7"/>
      <c r="C855" s="7"/>
      <c r="D855" s="7"/>
      <c r="E855" s="7"/>
      <c r="F855" s="7"/>
      <c r="G855" s="7"/>
      <c r="H855" s="7"/>
      <c r="I855" s="7"/>
      <c r="J855" s="7"/>
      <c r="K855" s="7"/>
    </row>
    <row r="856" spans="1:11" ht="15.75" customHeight="1">
      <c r="A856" s="7" t="str">
        <f t="shared" si="13"/>
        <v/>
      </c>
      <c r="B856" s="7"/>
      <c r="C856" s="7"/>
      <c r="D856" s="7"/>
      <c r="E856" s="7"/>
      <c r="F856" s="7"/>
      <c r="G856" s="7"/>
      <c r="H856" s="7"/>
      <c r="I856" s="7"/>
      <c r="J856" s="7"/>
      <c r="K856" s="7"/>
    </row>
    <row r="857" spans="1:11" ht="15.75" customHeight="1">
      <c r="A857" s="7" t="str">
        <f t="shared" si="13"/>
        <v/>
      </c>
      <c r="B857" s="7"/>
      <c r="C857" s="7"/>
      <c r="D857" s="7"/>
      <c r="E857" s="7"/>
      <c r="F857" s="7"/>
      <c r="G857" s="7"/>
      <c r="H857" s="7"/>
      <c r="I857" s="7"/>
      <c r="J857" s="7"/>
      <c r="K857" s="7"/>
    </row>
    <row r="858" spans="1:11" ht="15.75" customHeight="1">
      <c r="A858" s="7" t="str">
        <f t="shared" si="13"/>
        <v/>
      </c>
      <c r="B858" s="7"/>
      <c r="C858" s="7"/>
      <c r="D858" s="7"/>
      <c r="E858" s="7"/>
      <c r="F858" s="7"/>
      <c r="G858" s="7"/>
      <c r="H858" s="7"/>
      <c r="I858" s="7"/>
      <c r="J858" s="7"/>
      <c r="K858" s="7"/>
    </row>
    <row r="859" spans="1:11" ht="15.75" customHeight="1">
      <c r="A859" s="7" t="str">
        <f t="shared" si="13"/>
        <v/>
      </c>
      <c r="B859" s="7"/>
      <c r="C859" s="7"/>
      <c r="D859" s="7"/>
      <c r="E859" s="7"/>
      <c r="F859" s="7"/>
      <c r="G859" s="7"/>
      <c r="H859" s="7"/>
      <c r="I859" s="7"/>
      <c r="J859" s="7"/>
      <c r="K859" s="7"/>
    </row>
    <row r="860" spans="1:11" ht="15.75" customHeight="1">
      <c r="A860" s="7" t="str">
        <f t="shared" si="13"/>
        <v/>
      </c>
      <c r="B860" s="7"/>
      <c r="C860" s="7"/>
      <c r="D860" s="7"/>
      <c r="E860" s="7"/>
      <c r="F860" s="7"/>
      <c r="G860" s="7"/>
      <c r="H860" s="7"/>
      <c r="I860" s="7"/>
      <c r="J860" s="7"/>
      <c r="K860" s="7"/>
    </row>
    <row r="861" spans="1:11" ht="15.75" customHeight="1">
      <c r="A861" s="7" t="str">
        <f t="shared" si="13"/>
        <v/>
      </c>
      <c r="B861" s="7"/>
      <c r="C861" s="7"/>
      <c r="D861" s="7"/>
      <c r="E861" s="7"/>
      <c r="F861" s="7"/>
      <c r="G861" s="7"/>
      <c r="H861" s="7"/>
      <c r="I861" s="7"/>
      <c r="J861" s="7"/>
      <c r="K861" s="7"/>
    </row>
    <row r="862" spans="1:11" ht="15.75" customHeight="1">
      <c r="A862" s="7" t="str">
        <f t="shared" si="13"/>
        <v/>
      </c>
      <c r="B862" s="7"/>
      <c r="C862" s="7"/>
      <c r="D862" s="7"/>
      <c r="E862" s="7"/>
      <c r="F862" s="7"/>
      <c r="G862" s="7"/>
      <c r="H862" s="7"/>
      <c r="I862" s="7"/>
      <c r="J862" s="7"/>
      <c r="K862" s="7"/>
    </row>
    <row r="863" spans="1:11" ht="15.75" customHeight="1">
      <c r="A863" s="7" t="str">
        <f t="shared" si="13"/>
        <v/>
      </c>
      <c r="B863" s="7"/>
      <c r="C863" s="7"/>
      <c r="D863" s="7"/>
      <c r="E863" s="7"/>
      <c r="F863" s="7"/>
      <c r="G863" s="7"/>
      <c r="H863" s="7"/>
      <c r="I863" s="7"/>
      <c r="J863" s="7"/>
      <c r="K863" s="7"/>
    </row>
    <row r="864" spans="1:11" ht="15.75" customHeight="1">
      <c r="A864" s="7" t="str">
        <f t="shared" si="13"/>
        <v/>
      </c>
      <c r="B864" s="7"/>
      <c r="C864" s="7"/>
      <c r="D864" s="7"/>
      <c r="E864" s="7"/>
      <c r="F864" s="7"/>
      <c r="G864" s="7"/>
      <c r="H864" s="7"/>
      <c r="I864" s="7"/>
      <c r="J864" s="7"/>
      <c r="K864" s="7"/>
    </row>
    <row r="865" spans="1:11" ht="15.75" customHeight="1">
      <c r="A865" s="7" t="str">
        <f t="shared" si="13"/>
        <v/>
      </c>
      <c r="B865" s="7"/>
      <c r="C865" s="7"/>
      <c r="D865" s="7"/>
      <c r="E865" s="7"/>
      <c r="F865" s="7"/>
      <c r="G865" s="7"/>
      <c r="H865" s="7"/>
      <c r="I865" s="7"/>
      <c r="J865" s="7"/>
      <c r="K865" s="7"/>
    </row>
    <row r="866" spans="1:11" ht="15.75" customHeight="1">
      <c r="A866" s="7" t="str">
        <f t="shared" si="13"/>
        <v/>
      </c>
      <c r="B866" s="7"/>
      <c r="C866" s="7"/>
      <c r="D866" s="7"/>
      <c r="E866" s="7"/>
      <c r="F866" s="7"/>
      <c r="G866" s="7"/>
      <c r="H866" s="7"/>
      <c r="I866" s="7"/>
      <c r="J866" s="7"/>
      <c r="K866" s="7"/>
    </row>
    <row r="867" spans="1:11" ht="15.75" customHeight="1">
      <c r="A867" s="7" t="str">
        <f t="shared" si="13"/>
        <v/>
      </c>
      <c r="B867" s="7"/>
      <c r="C867" s="7"/>
      <c r="D867" s="7"/>
      <c r="E867" s="7"/>
      <c r="F867" s="7"/>
      <c r="G867" s="7"/>
      <c r="H867" s="7"/>
      <c r="I867" s="7"/>
      <c r="J867" s="7"/>
      <c r="K867" s="7"/>
    </row>
    <row r="868" spans="1:11" ht="15.75" customHeight="1">
      <c r="A868" s="7" t="str">
        <f t="shared" si="13"/>
        <v/>
      </c>
      <c r="B868" s="7"/>
      <c r="C868" s="7"/>
      <c r="D868" s="7"/>
      <c r="E868" s="7"/>
      <c r="F868" s="7"/>
      <c r="G868" s="7"/>
      <c r="H868" s="7"/>
      <c r="I868" s="7"/>
      <c r="J868" s="7"/>
      <c r="K868" s="7"/>
    </row>
    <row r="869" spans="1:11" ht="15.75" customHeight="1">
      <c r="A869" s="7" t="str">
        <f t="shared" si="13"/>
        <v/>
      </c>
      <c r="B869" s="7"/>
      <c r="C869" s="7"/>
      <c r="D869" s="7"/>
      <c r="E869" s="7"/>
      <c r="F869" s="7"/>
      <c r="G869" s="7"/>
      <c r="H869" s="7"/>
      <c r="I869" s="7"/>
      <c r="J869" s="7"/>
      <c r="K869" s="7"/>
    </row>
    <row r="870" spans="1:11" ht="15.75" customHeight="1">
      <c r="A870" s="7" t="str">
        <f t="shared" si="13"/>
        <v/>
      </c>
      <c r="B870" s="7"/>
      <c r="C870" s="7"/>
      <c r="D870" s="7"/>
      <c r="E870" s="7"/>
      <c r="F870" s="7"/>
      <c r="G870" s="7"/>
      <c r="H870" s="7"/>
      <c r="I870" s="7"/>
      <c r="J870" s="7"/>
      <c r="K870" s="7"/>
    </row>
    <row r="871" spans="1:11" ht="15.75" customHeight="1">
      <c r="A871" s="7" t="str">
        <f t="shared" si="13"/>
        <v/>
      </c>
      <c r="B871" s="7"/>
      <c r="C871" s="7"/>
      <c r="D871" s="7"/>
      <c r="E871" s="7"/>
      <c r="F871" s="7"/>
      <c r="G871" s="7"/>
      <c r="H871" s="7"/>
      <c r="I871" s="7"/>
      <c r="J871" s="7"/>
      <c r="K871" s="7"/>
    </row>
    <row r="872" spans="1:11" ht="15.75" customHeight="1">
      <c r="A872" s="7" t="str">
        <f t="shared" si="13"/>
        <v/>
      </c>
      <c r="B872" s="7"/>
      <c r="C872" s="7"/>
      <c r="D872" s="7"/>
      <c r="E872" s="7"/>
      <c r="F872" s="7"/>
      <c r="G872" s="7"/>
      <c r="H872" s="7"/>
      <c r="I872" s="7"/>
      <c r="J872" s="7"/>
      <c r="K872" s="7"/>
    </row>
    <row r="873" spans="1:11" ht="15.75" customHeight="1">
      <c r="A873" s="7" t="str">
        <f t="shared" si="13"/>
        <v/>
      </c>
      <c r="B873" s="7"/>
      <c r="C873" s="7"/>
      <c r="D873" s="7"/>
      <c r="E873" s="7"/>
      <c r="F873" s="7"/>
      <c r="G873" s="7"/>
      <c r="H873" s="7"/>
      <c r="I873" s="7"/>
      <c r="J873" s="7"/>
      <c r="K873" s="7"/>
    </row>
    <row r="874" spans="1:11" ht="15.75" customHeight="1">
      <c r="A874" s="7" t="str">
        <f t="shared" si="13"/>
        <v/>
      </c>
      <c r="B874" s="7"/>
      <c r="C874" s="7"/>
      <c r="D874" s="7"/>
      <c r="E874" s="7"/>
      <c r="F874" s="7"/>
      <c r="G874" s="7"/>
      <c r="H874" s="7"/>
      <c r="I874" s="7"/>
      <c r="J874" s="7"/>
      <c r="K874" s="7"/>
    </row>
    <row r="875" spans="1:11" ht="15.75" customHeight="1">
      <c r="A875" s="7" t="str">
        <f t="shared" si="13"/>
        <v/>
      </c>
      <c r="B875" s="7"/>
      <c r="C875" s="7"/>
      <c r="D875" s="7"/>
      <c r="E875" s="7"/>
      <c r="F875" s="7"/>
      <c r="G875" s="7"/>
      <c r="H875" s="7"/>
      <c r="I875" s="7"/>
      <c r="J875" s="7"/>
      <c r="K875" s="7"/>
    </row>
    <row r="876" spans="1:11" ht="15.75" customHeight="1">
      <c r="A876" s="7" t="str">
        <f t="shared" si="13"/>
        <v/>
      </c>
      <c r="B876" s="7"/>
      <c r="C876" s="7"/>
      <c r="D876" s="7"/>
      <c r="E876" s="7"/>
      <c r="F876" s="7"/>
      <c r="G876" s="7"/>
      <c r="H876" s="7"/>
      <c r="I876" s="7"/>
      <c r="J876" s="7"/>
      <c r="K876" s="7"/>
    </row>
    <row r="877" spans="1:11" ht="15.75" customHeight="1">
      <c r="A877" s="7" t="str">
        <f t="shared" si="13"/>
        <v/>
      </c>
      <c r="B877" s="7"/>
      <c r="C877" s="7"/>
      <c r="D877" s="7"/>
      <c r="E877" s="7"/>
      <c r="F877" s="7"/>
      <c r="G877" s="7"/>
      <c r="H877" s="7"/>
      <c r="I877" s="7"/>
      <c r="J877" s="7"/>
      <c r="K877" s="7"/>
    </row>
    <row r="878" spans="1:11" ht="15.75" customHeight="1">
      <c r="A878" s="7" t="str">
        <f t="shared" si="13"/>
        <v/>
      </c>
      <c r="B878" s="7"/>
      <c r="C878" s="7"/>
      <c r="D878" s="7"/>
      <c r="E878" s="7"/>
      <c r="F878" s="7"/>
      <c r="G878" s="7"/>
      <c r="H878" s="7"/>
      <c r="I878" s="7"/>
      <c r="J878" s="7"/>
      <c r="K878" s="7"/>
    </row>
    <row r="879" spans="1:11" ht="15.75" customHeight="1">
      <c r="A879" s="7" t="str">
        <f t="shared" si="13"/>
        <v/>
      </c>
      <c r="B879" s="7"/>
      <c r="C879" s="7"/>
      <c r="D879" s="7"/>
      <c r="E879" s="7"/>
      <c r="F879" s="7"/>
      <c r="G879" s="7"/>
      <c r="H879" s="7"/>
      <c r="I879" s="7"/>
      <c r="J879" s="7"/>
      <c r="K879" s="7"/>
    </row>
    <row r="880" spans="1:11" ht="15.75" customHeight="1">
      <c r="A880" s="7" t="str">
        <f t="shared" si="13"/>
        <v/>
      </c>
      <c r="B880" s="7"/>
      <c r="C880" s="7"/>
      <c r="D880" s="7"/>
      <c r="E880" s="7"/>
      <c r="F880" s="7"/>
      <c r="G880" s="7"/>
      <c r="H880" s="7"/>
      <c r="I880" s="7"/>
      <c r="J880" s="7"/>
      <c r="K880" s="7"/>
    </row>
    <row r="881" spans="1:11" ht="15.75" customHeight="1">
      <c r="A881" s="7" t="str">
        <f t="shared" si="13"/>
        <v/>
      </c>
      <c r="B881" s="7"/>
      <c r="C881" s="7"/>
      <c r="D881" s="7"/>
      <c r="E881" s="7"/>
      <c r="F881" s="7"/>
      <c r="G881" s="7"/>
      <c r="H881" s="7"/>
      <c r="I881" s="7"/>
      <c r="J881" s="7"/>
      <c r="K881" s="7"/>
    </row>
    <row r="882" spans="1:11" ht="15.75" customHeight="1">
      <c r="A882" s="7" t="str">
        <f t="shared" si="13"/>
        <v/>
      </c>
      <c r="B882" s="7"/>
      <c r="C882" s="7"/>
      <c r="D882" s="7"/>
      <c r="E882" s="7"/>
      <c r="F882" s="7"/>
      <c r="G882" s="7"/>
      <c r="H882" s="7"/>
      <c r="I882" s="7"/>
      <c r="J882" s="7"/>
      <c r="K882" s="7"/>
    </row>
    <row r="883" spans="1:11" ht="15.75" customHeight="1">
      <c r="A883" s="7" t="str">
        <f t="shared" si="13"/>
        <v/>
      </c>
      <c r="B883" s="7"/>
      <c r="C883" s="7"/>
      <c r="D883" s="7"/>
      <c r="E883" s="7"/>
      <c r="F883" s="7"/>
      <c r="G883" s="7"/>
      <c r="H883" s="7"/>
      <c r="I883" s="7"/>
      <c r="J883" s="7"/>
      <c r="K883" s="7"/>
    </row>
    <row r="884" spans="1:11" ht="15.75" customHeight="1">
      <c r="A884" s="7" t="str">
        <f t="shared" si="13"/>
        <v/>
      </c>
      <c r="B884" s="7"/>
      <c r="C884" s="7"/>
      <c r="D884" s="7"/>
      <c r="E884" s="7"/>
      <c r="F884" s="7"/>
      <c r="G884" s="7"/>
      <c r="H884" s="7"/>
      <c r="I884" s="7"/>
      <c r="J884" s="7"/>
      <c r="K884" s="7"/>
    </row>
    <row r="885" spans="1:11" ht="15.75" customHeight="1">
      <c r="A885" s="7" t="str">
        <f t="shared" si="13"/>
        <v/>
      </c>
      <c r="B885" s="7"/>
      <c r="C885" s="7"/>
      <c r="D885" s="7"/>
      <c r="E885" s="7"/>
      <c r="F885" s="7"/>
      <c r="G885" s="7"/>
      <c r="H885" s="7"/>
      <c r="I885" s="7"/>
      <c r="J885" s="7"/>
      <c r="K885" s="7"/>
    </row>
    <row r="886" spans="1:11" ht="15.75" customHeight="1">
      <c r="A886" s="7" t="str">
        <f t="shared" si="13"/>
        <v/>
      </c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 spans="1:11" ht="15.75" customHeight="1">
      <c r="A887" s="7" t="str">
        <f t="shared" si="13"/>
        <v/>
      </c>
      <c r="B887" s="7"/>
      <c r="C887" s="7"/>
      <c r="D887" s="7"/>
      <c r="E887" s="7"/>
      <c r="F887" s="7"/>
      <c r="G887" s="7"/>
      <c r="H887" s="7"/>
      <c r="I887" s="7"/>
      <c r="J887" s="7"/>
      <c r="K887" s="7"/>
    </row>
    <row r="888" spans="1:11" ht="15.75" customHeight="1">
      <c r="A888" s="7" t="str">
        <f t="shared" si="13"/>
        <v/>
      </c>
      <c r="B888" s="7"/>
      <c r="C888" s="7"/>
      <c r="D888" s="7"/>
      <c r="E888" s="7"/>
      <c r="F888" s="7"/>
      <c r="G888" s="7"/>
      <c r="H888" s="7"/>
      <c r="I888" s="7"/>
      <c r="J888" s="7"/>
      <c r="K888" s="7"/>
    </row>
    <row r="889" spans="1:11" ht="15.75" customHeight="1">
      <c r="A889" s="7" t="str">
        <f t="shared" si="13"/>
        <v/>
      </c>
      <c r="B889" s="7"/>
      <c r="C889" s="7"/>
      <c r="D889" s="7"/>
      <c r="E889" s="7"/>
      <c r="F889" s="7"/>
      <c r="G889" s="7"/>
      <c r="H889" s="7"/>
      <c r="I889" s="7"/>
      <c r="J889" s="7"/>
      <c r="K889" s="7"/>
    </row>
    <row r="890" spans="1:11" ht="15.75" customHeight="1">
      <c r="A890" s="7" t="str">
        <f t="shared" si="13"/>
        <v/>
      </c>
      <c r="B890" s="7"/>
      <c r="C890" s="7"/>
      <c r="D890" s="7"/>
      <c r="E890" s="7"/>
      <c r="F890" s="7"/>
      <c r="G890" s="7"/>
      <c r="H890" s="7"/>
      <c r="I890" s="7"/>
      <c r="J890" s="7"/>
      <c r="K890" s="7"/>
    </row>
    <row r="891" spans="1:11" ht="15.75" customHeight="1">
      <c r="A891" s="7" t="str">
        <f t="shared" si="13"/>
        <v/>
      </c>
      <c r="B891" s="7"/>
      <c r="C891" s="7"/>
      <c r="D891" s="7"/>
      <c r="E891" s="7"/>
      <c r="F891" s="7"/>
      <c r="G891" s="7"/>
      <c r="H891" s="7"/>
      <c r="I891" s="7"/>
      <c r="J891" s="7"/>
      <c r="K891" s="7"/>
    </row>
    <row r="892" spans="1:11" ht="15.75" customHeight="1">
      <c r="A892" s="7" t="str">
        <f t="shared" si="13"/>
        <v/>
      </c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 spans="1:11" ht="15.75" customHeight="1">
      <c r="A893" s="7" t="str">
        <f t="shared" si="13"/>
        <v/>
      </c>
      <c r="B893" s="7"/>
      <c r="C893" s="7"/>
      <c r="D893" s="7"/>
      <c r="E893" s="7"/>
      <c r="F893" s="7"/>
      <c r="G893" s="7"/>
      <c r="H893" s="7"/>
      <c r="I893" s="7"/>
      <c r="J893" s="7"/>
      <c r="K893" s="7"/>
    </row>
    <row r="894" spans="1:11" ht="15.75" customHeight="1">
      <c r="A894" s="7" t="str">
        <f t="shared" si="13"/>
        <v/>
      </c>
      <c r="B894" s="7"/>
      <c r="C894" s="7"/>
      <c r="D894" s="7"/>
      <c r="E894" s="7"/>
      <c r="F894" s="7"/>
      <c r="G894" s="7"/>
      <c r="H894" s="7"/>
      <c r="I894" s="7"/>
      <c r="J894" s="7"/>
      <c r="K894" s="7"/>
    </row>
    <row r="895" spans="1:11" ht="15.75" customHeight="1">
      <c r="A895" s="7" t="str">
        <f t="shared" si="13"/>
        <v/>
      </c>
      <c r="B895" s="7"/>
      <c r="C895" s="7"/>
      <c r="D895" s="7"/>
      <c r="E895" s="7"/>
      <c r="F895" s="7"/>
      <c r="G895" s="7"/>
      <c r="H895" s="7"/>
      <c r="I895" s="7"/>
      <c r="J895" s="7"/>
      <c r="K895" s="7"/>
    </row>
    <row r="896" spans="1:11" ht="15.75" customHeight="1">
      <c r="A896" s="7" t="str">
        <f t="shared" si="13"/>
        <v/>
      </c>
      <c r="B896" s="7"/>
      <c r="C896" s="7"/>
      <c r="D896" s="7"/>
      <c r="E896" s="7"/>
      <c r="F896" s="7"/>
      <c r="G896" s="7"/>
      <c r="H896" s="7"/>
      <c r="I896" s="7"/>
      <c r="J896" s="7"/>
      <c r="K896" s="7"/>
    </row>
    <row r="897" spans="1:11" ht="15.75" customHeight="1">
      <c r="A897" s="7" t="str">
        <f t="shared" si="13"/>
        <v/>
      </c>
      <c r="B897" s="7"/>
      <c r="C897" s="7"/>
      <c r="D897" s="7"/>
      <c r="E897" s="7"/>
      <c r="F897" s="7"/>
      <c r="G897" s="7"/>
      <c r="H897" s="7"/>
      <c r="I897" s="7"/>
      <c r="J897" s="7"/>
      <c r="K897" s="7"/>
    </row>
    <row r="898" spans="1:11" ht="15.75" customHeight="1">
      <c r="A898" s="7" t="str">
        <f t="shared" si="13"/>
        <v/>
      </c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 spans="1:11" ht="15.75" customHeight="1">
      <c r="A899" s="7" t="str">
        <f t="shared" si="13"/>
        <v/>
      </c>
      <c r="B899" s="7"/>
      <c r="C899" s="7"/>
      <c r="D899" s="7"/>
      <c r="E899" s="7"/>
      <c r="F899" s="7"/>
      <c r="G899" s="7"/>
      <c r="H899" s="7"/>
      <c r="I899" s="7"/>
      <c r="J899" s="7"/>
      <c r="K899" s="7"/>
    </row>
    <row r="900" spans="1:11" ht="15.75" customHeight="1">
      <c r="A900" s="7" t="str">
        <f t="shared" si="13"/>
        <v/>
      </c>
      <c r="B900" s="7"/>
      <c r="C900" s="7"/>
      <c r="D900" s="7"/>
      <c r="E900" s="7"/>
      <c r="F900" s="7"/>
      <c r="G900" s="7"/>
      <c r="H900" s="7"/>
      <c r="I900" s="7"/>
      <c r="J900" s="7"/>
      <c r="K900" s="7"/>
    </row>
    <row r="901" spans="1:11" ht="15.75" customHeight="1">
      <c r="A901" s="7" t="str">
        <f t="shared" ref="A901:A964" si="14">IF(B901="","","EXE-"&amp;TEXT(ROW()-4,"0000"))</f>
        <v/>
      </c>
      <c r="B901" s="7"/>
      <c r="C901" s="7"/>
      <c r="D901" s="7"/>
      <c r="E901" s="7"/>
      <c r="F901" s="7"/>
      <c r="G901" s="7"/>
      <c r="H901" s="7"/>
      <c r="I901" s="7"/>
      <c r="J901" s="7"/>
      <c r="K901" s="7"/>
    </row>
    <row r="902" spans="1:11" ht="15.75" customHeight="1">
      <c r="A902" s="7" t="str">
        <f t="shared" si="14"/>
        <v/>
      </c>
      <c r="B902" s="7"/>
      <c r="C902" s="7"/>
      <c r="D902" s="7"/>
      <c r="E902" s="7"/>
      <c r="F902" s="7"/>
      <c r="G902" s="7"/>
      <c r="H902" s="7"/>
      <c r="I902" s="7"/>
      <c r="J902" s="7"/>
      <c r="K902" s="7"/>
    </row>
    <row r="903" spans="1:11" ht="15.75" customHeight="1">
      <c r="A903" s="7" t="str">
        <f t="shared" si="14"/>
        <v/>
      </c>
      <c r="B903" s="7"/>
      <c r="C903" s="7"/>
      <c r="D903" s="7"/>
      <c r="E903" s="7"/>
      <c r="F903" s="7"/>
      <c r="G903" s="7"/>
      <c r="H903" s="7"/>
      <c r="I903" s="7"/>
      <c r="J903" s="7"/>
      <c r="K903" s="7"/>
    </row>
    <row r="904" spans="1:11" ht="15.75" customHeight="1">
      <c r="A904" s="7" t="str">
        <f t="shared" si="14"/>
        <v/>
      </c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 spans="1:11" ht="15.75" customHeight="1">
      <c r="A905" s="7" t="str">
        <f t="shared" si="14"/>
        <v/>
      </c>
      <c r="B905" s="7"/>
      <c r="C905" s="7"/>
      <c r="D905" s="7"/>
      <c r="E905" s="7"/>
      <c r="F905" s="7"/>
      <c r="G905" s="7"/>
      <c r="H905" s="7"/>
      <c r="I905" s="7"/>
      <c r="J905" s="7"/>
      <c r="K905" s="7"/>
    </row>
    <row r="906" spans="1:11" ht="15.75" customHeight="1">
      <c r="A906" s="7" t="str">
        <f t="shared" si="14"/>
        <v/>
      </c>
      <c r="B906" s="7"/>
      <c r="C906" s="7"/>
      <c r="D906" s="7"/>
      <c r="E906" s="7"/>
      <c r="F906" s="7"/>
      <c r="G906" s="7"/>
      <c r="H906" s="7"/>
      <c r="I906" s="7"/>
      <c r="J906" s="7"/>
      <c r="K906" s="7"/>
    </row>
    <row r="907" spans="1:11" ht="15.75" customHeight="1">
      <c r="A907" s="7" t="str">
        <f t="shared" si="14"/>
        <v/>
      </c>
      <c r="B907" s="7"/>
      <c r="C907" s="7"/>
      <c r="D907" s="7"/>
      <c r="E907" s="7"/>
      <c r="F907" s="7"/>
      <c r="G907" s="7"/>
      <c r="H907" s="7"/>
      <c r="I907" s="7"/>
      <c r="J907" s="7"/>
      <c r="K907" s="7"/>
    </row>
    <row r="908" spans="1:11" ht="15.75" customHeight="1">
      <c r="A908" s="7" t="str">
        <f t="shared" si="14"/>
        <v/>
      </c>
      <c r="B908" s="7"/>
      <c r="C908" s="7"/>
      <c r="D908" s="7"/>
      <c r="E908" s="7"/>
      <c r="F908" s="7"/>
      <c r="G908" s="7"/>
      <c r="H908" s="7"/>
      <c r="I908" s="7"/>
      <c r="J908" s="7"/>
      <c r="K908" s="7"/>
    </row>
    <row r="909" spans="1:11" ht="15.75" customHeight="1">
      <c r="A909" s="7" t="str">
        <f t="shared" si="14"/>
        <v/>
      </c>
      <c r="B909" s="7"/>
      <c r="C909" s="7"/>
      <c r="D909" s="7"/>
      <c r="E909" s="7"/>
      <c r="F909" s="7"/>
      <c r="G909" s="7"/>
      <c r="H909" s="7"/>
      <c r="I909" s="7"/>
      <c r="J909" s="7"/>
      <c r="K909" s="7"/>
    </row>
    <row r="910" spans="1:11" ht="15.75" customHeight="1">
      <c r="A910" s="7" t="str">
        <f t="shared" si="14"/>
        <v/>
      </c>
      <c r="B910" s="7"/>
      <c r="C910" s="7"/>
      <c r="D910" s="7"/>
      <c r="E910" s="7"/>
      <c r="F910" s="7"/>
      <c r="G910" s="7"/>
      <c r="H910" s="7"/>
      <c r="I910" s="7"/>
      <c r="J910" s="7"/>
      <c r="K910" s="7"/>
    </row>
    <row r="911" spans="1:11" ht="15.75" customHeight="1">
      <c r="A911" s="7" t="str">
        <f t="shared" si="14"/>
        <v/>
      </c>
      <c r="B911" s="7"/>
      <c r="C911" s="7"/>
      <c r="D911" s="7"/>
      <c r="E911" s="7"/>
      <c r="F911" s="7"/>
      <c r="G911" s="7"/>
      <c r="H911" s="7"/>
      <c r="I911" s="7"/>
      <c r="J911" s="7"/>
      <c r="K911" s="7"/>
    </row>
    <row r="912" spans="1:11" ht="15.75" customHeight="1">
      <c r="A912" s="7" t="str">
        <f t="shared" si="14"/>
        <v/>
      </c>
      <c r="B912" s="7"/>
      <c r="C912" s="7"/>
      <c r="D912" s="7"/>
      <c r="E912" s="7"/>
      <c r="F912" s="7"/>
      <c r="G912" s="7"/>
      <c r="H912" s="7"/>
      <c r="I912" s="7"/>
      <c r="J912" s="7"/>
      <c r="K912" s="7"/>
    </row>
    <row r="913" spans="1:11" ht="15.75" customHeight="1">
      <c r="A913" s="7" t="str">
        <f t="shared" si="14"/>
        <v/>
      </c>
      <c r="B913" s="7"/>
      <c r="C913" s="7"/>
      <c r="D913" s="7"/>
      <c r="E913" s="7"/>
      <c r="F913" s="7"/>
      <c r="G913" s="7"/>
      <c r="H913" s="7"/>
      <c r="I913" s="7"/>
      <c r="J913" s="7"/>
      <c r="K913" s="7"/>
    </row>
    <row r="914" spans="1:11" ht="15.75" customHeight="1">
      <c r="A914" s="7" t="str">
        <f t="shared" si="14"/>
        <v/>
      </c>
      <c r="B914" s="7"/>
      <c r="C914" s="7"/>
      <c r="D914" s="7"/>
      <c r="E914" s="7"/>
      <c r="F914" s="7"/>
      <c r="G914" s="7"/>
      <c r="H914" s="7"/>
      <c r="I914" s="7"/>
      <c r="J914" s="7"/>
      <c r="K914" s="7"/>
    </row>
    <row r="915" spans="1:11" ht="15.75" customHeight="1">
      <c r="A915" s="7" t="str">
        <f t="shared" si="14"/>
        <v/>
      </c>
      <c r="B915" s="7"/>
      <c r="C915" s="7"/>
      <c r="D915" s="7"/>
      <c r="E915" s="7"/>
      <c r="F915" s="7"/>
      <c r="G915" s="7"/>
      <c r="H915" s="7"/>
      <c r="I915" s="7"/>
      <c r="J915" s="7"/>
      <c r="K915" s="7"/>
    </row>
    <row r="916" spans="1:11" ht="15.75" customHeight="1">
      <c r="A916" s="7" t="str">
        <f t="shared" si="14"/>
        <v/>
      </c>
      <c r="B916" s="7"/>
      <c r="C916" s="7"/>
      <c r="D916" s="7"/>
      <c r="E916" s="7"/>
      <c r="F916" s="7"/>
      <c r="G916" s="7"/>
      <c r="H916" s="7"/>
      <c r="I916" s="7"/>
      <c r="J916" s="7"/>
      <c r="K916" s="7"/>
    </row>
    <row r="917" spans="1:11" ht="15.75" customHeight="1">
      <c r="A917" s="7" t="str">
        <f t="shared" si="14"/>
        <v/>
      </c>
      <c r="B917" s="7"/>
      <c r="C917" s="7"/>
      <c r="D917" s="7"/>
      <c r="E917" s="7"/>
      <c r="F917" s="7"/>
      <c r="G917" s="7"/>
      <c r="H917" s="7"/>
      <c r="I917" s="7"/>
      <c r="J917" s="7"/>
      <c r="K917" s="7"/>
    </row>
    <row r="918" spans="1:11" ht="15.75" customHeight="1">
      <c r="A918" s="7" t="str">
        <f t="shared" si="14"/>
        <v/>
      </c>
      <c r="B918" s="7"/>
      <c r="C918" s="7"/>
      <c r="D918" s="7"/>
      <c r="E918" s="7"/>
      <c r="F918" s="7"/>
      <c r="G918" s="7"/>
      <c r="H918" s="7"/>
      <c r="I918" s="7"/>
      <c r="J918" s="7"/>
      <c r="K918" s="7"/>
    </row>
    <row r="919" spans="1:11" ht="15.75" customHeight="1">
      <c r="A919" s="7" t="str">
        <f t="shared" si="14"/>
        <v/>
      </c>
      <c r="B919" s="7"/>
      <c r="C919" s="7"/>
      <c r="D919" s="7"/>
      <c r="E919" s="7"/>
      <c r="F919" s="7"/>
      <c r="G919" s="7"/>
      <c r="H919" s="7"/>
      <c r="I919" s="7"/>
      <c r="J919" s="7"/>
      <c r="K919" s="7"/>
    </row>
    <row r="920" spans="1:11" ht="15.75" customHeight="1">
      <c r="A920" s="7" t="str">
        <f t="shared" si="14"/>
        <v/>
      </c>
      <c r="B920" s="7"/>
      <c r="C920" s="7"/>
      <c r="D920" s="7"/>
      <c r="E920" s="7"/>
      <c r="F920" s="7"/>
      <c r="G920" s="7"/>
      <c r="H920" s="7"/>
      <c r="I920" s="7"/>
      <c r="J920" s="7"/>
      <c r="K920" s="7"/>
    </row>
    <row r="921" spans="1:11" ht="15.75" customHeight="1">
      <c r="A921" s="7" t="str">
        <f t="shared" si="14"/>
        <v/>
      </c>
      <c r="B921" s="7"/>
      <c r="C921" s="7"/>
      <c r="D921" s="7"/>
      <c r="E921" s="7"/>
      <c r="F921" s="7"/>
      <c r="G921" s="7"/>
      <c r="H921" s="7"/>
      <c r="I921" s="7"/>
      <c r="J921" s="7"/>
      <c r="K921" s="7"/>
    </row>
    <row r="922" spans="1:11" ht="15.75" customHeight="1">
      <c r="A922" s="7" t="str">
        <f t="shared" si="14"/>
        <v/>
      </c>
      <c r="B922" s="7"/>
      <c r="C922" s="7"/>
      <c r="D922" s="7"/>
      <c r="E922" s="7"/>
      <c r="F922" s="7"/>
      <c r="G922" s="7"/>
      <c r="H922" s="7"/>
      <c r="I922" s="7"/>
      <c r="J922" s="7"/>
      <c r="K922" s="7"/>
    </row>
    <row r="923" spans="1:11" ht="15.75" customHeight="1">
      <c r="A923" s="7" t="str">
        <f t="shared" si="14"/>
        <v/>
      </c>
      <c r="B923" s="7"/>
      <c r="C923" s="7"/>
      <c r="D923" s="7"/>
      <c r="E923" s="7"/>
      <c r="F923" s="7"/>
      <c r="G923" s="7"/>
      <c r="H923" s="7"/>
      <c r="I923" s="7"/>
      <c r="J923" s="7"/>
      <c r="K923" s="7"/>
    </row>
    <row r="924" spans="1:11" ht="15.75" customHeight="1">
      <c r="A924" s="7" t="str">
        <f t="shared" si="14"/>
        <v/>
      </c>
      <c r="B924" s="7"/>
      <c r="C924" s="7"/>
      <c r="D924" s="7"/>
      <c r="E924" s="7"/>
      <c r="F924" s="7"/>
      <c r="G924" s="7"/>
      <c r="H924" s="7"/>
      <c r="I924" s="7"/>
      <c r="J924" s="7"/>
      <c r="K924" s="7"/>
    </row>
    <row r="925" spans="1:11" ht="15.75" customHeight="1">
      <c r="A925" s="7" t="str">
        <f t="shared" si="14"/>
        <v/>
      </c>
      <c r="B925" s="7"/>
      <c r="C925" s="7"/>
      <c r="D925" s="7"/>
      <c r="E925" s="7"/>
      <c r="F925" s="7"/>
      <c r="G925" s="7"/>
      <c r="H925" s="7"/>
      <c r="I925" s="7"/>
      <c r="J925" s="7"/>
      <c r="K925" s="7"/>
    </row>
    <row r="926" spans="1:11" ht="15.75" customHeight="1">
      <c r="A926" s="7" t="str">
        <f t="shared" si="14"/>
        <v/>
      </c>
      <c r="B926" s="7"/>
      <c r="C926" s="7"/>
      <c r="D926" s="7"/>
      <c r="E926" s="7"/>
      <c r="F926" s="7"/>
      <c r="G926" s="7"/>
      <c r="H926" s="7"/>
      <c r="I926" s="7"/>
      <c r="J926" s="7"/>
      <c r="K926" s="7"/>
    </row>
    <row r="927" spans="1:11" ht="15.75" customHeight="1">
      <c r="A927" s="7" t="str">
        <f t="shared" si="14"/>
        <v/>
      </c>
      <c r="B927" s="7"/>
      <c r="C927" s="7"/>
      <c r="D927" s="7"/>
      <c r="E927" s="7"/>
      <c r="F927" s="7"/>
      <c r="G927" s="7"/>
      <c r="H927" s="7"/>
      <c r="I927" s="7"/>
      <c r="J927" s="7"/>
      <c r="K927" s="7"/>
    </row>
    <row r="928" spans="1:11" ht="15.75" customHeight="1">
      <c r="A928" s="7" t="str">
        <f t="shared" si="14"/>
        <v/>
      </c>
      <c r="B928" s="7"/>
      <c r="C928" s="7"/>
      <c r="D928" s="7"/>
      <c r="E928" s="7"/>
      <c r="F928" s="7"/>
      <c r="G928" s="7"/>
      <c r="H928" s="7"/>
      <c r="I928" s="7"/>
      <c r="J928" s="7"/>
      <c r="K928" s="7"/>
    </row>
    <row r="929" spans="1:11" ht="15.75" customHeight="1">
      <c r="A929" s="7" t="str">
        <f t="shared" si="14"/>
        <v/>
      </c>
      <c r="B929" s="7"/>
      <c r="C929" s="7"/>
      <c r="D929" s="7"/>
      <c r="E929" s="7"/>
      <c r="F929" s="7"/>
      <c r="G929" s="7"/>
      <c r="H929" s="7"/>
      <c r="I929" s="7"/>
      <c r="J929" s="7"/>
      <c r="K929" s="7"/>
    </row>
    <row r="930" spans="1:11" ht="15.75" customHeight="1">
      <c r="A930" s="7" t="str">
        <f t="shared" si="14"/>
        <v/>
      </c>
      <c r="B930" s="7"/>
      <c r="C930" s="7"/>
      <c r="D930" s="7"/>
      <c r="E930" s="7"/>
      <c r="F930" s="7"/>
      <c r="G930" s="7"/>
      <c r="H930" s="7"/>
      <c r="I930" s="7"/>
      <c r="J930" s="7"/>
      <c r="K930" s="7"/>
    </row>
    <row r="931" spans="1:11" ht="15.75" customHeight="1">
      <c r="A931" s="7" t="str">
        <f t="shared" si="14"/>
        <v/>
      </c>
      <c r="B931" s="7"/>
      <c r="C931" s="7"/>
      <c r="D931" s="7"/>
      <c r="E931" s="7"/>
      <c r="F931" s="7"/>
      <c r="G931" s="7"/>
      <c r="H931" s="7"/>
      <c r="I931" s="7"/>
      <c r="J931" s="7"/>
      <c r="K931" s="7"/>
    </row>
    <row r="932" spans="1:11" ht="15.75" customHeight="1">
      <c r="A932" s="7" t="str">
        <f t="shared" si="14"/>
        <v/>
      </c>
      <c r="B932" s="7"/>
      <c r="C932" s="7"/>
      <c r="D932" s="7"/>
      <c r="E932" s="7"/>
      <c r="F932" s="7"/>
      <c r="G932" s="7"/>
      <c r="H932" s="7"/>
      <c r="I932" s="7"/>
      <c r="J932" s="7"/>
      <c r="K932" s="7"/>
    </row>
    <row r="933" spans="1:11" ht="15.75" customHeight="1">
      <c r="A933" s="7" t="str">
        <f t="shared" si="14"/>
        <v/>
      </c>
      <c r="B933" s="7"/>
      <c r="C933" s="7"/>
      <c r="D933" s="7"/>
      <c r="E933" s="7"/>
      <c r="F933" s="7"/>
      <c r="G933" s="7"/>
      <c r="H933" s="7"/>
      <c r="I933" s="7"/>
      <c r="J933" s="7"/>
      <c r="K933" s="7"/>
    </row>
    <row r="934" spans="1:11" ht="15.75" customHeight="1">
      <c r="A934" s="7" t="str">
        <f t="shared" si="14"/>
        <v/>
      </c>
      <c r="B934" s="7"/>
      <c r="C934" s="7"/>
      <c r="D934" s="7"/>
      <c r="E934" s="7"/>
      <c r="F934" s="7"/>
      <c r="G934" s="7"/>
      <c r="H934" s="7"/>
      <c r="I934" s="7"/>
      <c r="J934" s="7"/>
      <c r="K934" s="7"/>
    </row>
    <row r="935" spans="1:11" ht="15.75" customHeight="1">
      <c r="A935" s="7" t="str">
        <f t="shared" si="14"/>
        <v/>
      </c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 spans="1:11" ht="15.75" customHeight="1">
      <c r="A936" s="7" t="str">
        <f t="shared" si="14"/>
        <v/>
      </c>
      <c r="B936" s="7"/>
      <c r="C936" s="7"/>
      <c r="D936" s="7"/>
      <c r="E936" s="7"/>
      <c r="F936" s="7"/>
      <c r="G936" s="7"/>
      <c r="H936" s="7"/>
      <c r="I936" s="7"/>
      <c r="J936" s="7"/>
      <c r="K936" s="7"/>
    </row>
    <row r="937" spans="1:11" ht="15.75" customHeight="1">
      <c r="A937" s="7" t="str">
        <f t="shared" si="14"/>
        <v/>
      </c>
      <c r="B937" s="7"/>
      <c r="C937" s="7"/>
      <c r="D937" s="7"/>
      <c r="E937" s="7"/>
      <c r="F937" s="7"/>
      <c r="G937" s="7"/>
      <c r="H937" s="7"/>
      <c r="I937" s="7"/>
      <c r="J937" s="7"/>
      <c r="K937" s="7"/>
    </row>
    <row r="938" spans="1:11" ht="15.75" customHeight="1">
      <c r="A938" s="7" t="str">
        <f t="shared" si="14"/>
        <v/>
      </c>
      <c r="B938" s="7"/>
      <c r="C938" s="7"/>
      <c r="D938" s="7"/>
      <c r="E938" s="7"/>
      <c r="F938" s="7"/>
      <c r="G938" s="7"/>
      <c r="H938" s="7"/>
      <c r="I938" s="7"/>
      <c r="J938" s="7"/>
      <c r="K938" s="7"/>
    </row>
    <row r="939" spans="1:11" ht="15.75" customHeight="1">
      <c r="A939" s="7" t="str">
        <f t="shared" si="14"/>
        <v/>
      </c>
      <c r="B939" s="7"/>
      <c r="C939" s="7"/>
      <c r="D939" s="7"/>
      <c r="E939" s="7"/>
      <c r="F939" s="7"/>
      <c r="G939" s="7"/>
      <c r="H939" s="7"/>
      <c r="I939" s="7"/>
      <c r="J939" s="7"/>
      <c r="K939" s="7"/>
    </row>
    <row r="940" spans="1:11" ht="15.75" customHeight="1">
      <c r="A940" s="7" t="str">
        <f t="shared" si="14"/>
        <v/>
      </c>
      <c r="B940" s="7"/>
      <c r="C940" s="7"/>
      <c r="D940" s="7"/>
      <c r="E940" s="7"/>
      <c r="F940" s="7"/>
      <c r="G940" s="7"/>
      <c r="H940" s="7"/>
      <c r="I940" s="7"/>
      <c r="J940" s="7"/>
      <c r="K940" s="7"/>
    </row>
    <row r="941" spans="1:11" ht="15.75" customHeight="1">
      <c r="A941" s="7" t="str">
        <f t="shared" si="14"/>
        <v/>
      </c>
      <c r="B941" s="7"/>
      <c r="C941" s="7"/>
      <c r="D941" s="7"/>
      <c r="E941" s="7"/>
      <c r="F941" s="7"/>
      <c r="G941" s="7"/>
      <c r="H941" s="7"/>
      <c r="I941" s="7"/>
      <c r="J941" s="7"/>
      <c r="K941" s="7"/>
    </row>
    <row r="942" spans="1:11" ht="15.75" customHeight="1">
      <c r="A942" s="7" t="str">
        <f t="shared" si="14"/>
        <v/>
      </c>
      <c r="B942" s="7"/>
      <c r="C942" s="7"/>
      <c r="D942" s="7"/>
      <c r="E942" s="7"/>
      <c r="F942" s="7"/>
      <c r="G942" s="7"/>
      <c r="H942" s="7"/>
      <c r="I942" s="7"/>
      <c r="J942" s="7"/>
      <c r="K942" s="7"/>
    </row>
    <row r="943" spans="1:11" ht="15.75" customHeight="1">
      <c r="A943" s="7" t="str">
        <f t="shared" si="14"/>
        <v/>
      </c>
      <c r="B943" s="7"/>
      <c r="C943" s="7"/>
      <c r="D943" s="7"/>
      <c r="E943" s="7"/>
      <c r="F943" s="7"/>
      <c r="G943" s="7"/>
      <c r="H943" s="7"/>
      <c r="I943" s="7"/>
      <c r="J943" s="7"/>
      <c r="K943" s="7"/>
    </row>
    <row r="944" spans="1:11" ht="15.75" customHeight="1">
      <c r="A944" s="7" t="str">
        <f t="shared" si="14"/>
        <v/>
      </c>
      <c r="B944" s="7"/>
      <c r="C944" s="7"/>
      <c r="D944" s="7"/>
      <c r="E944" s="7"/>
      <c r="F944" s="7"/>
      <c r="G944" s="7"/>
      <c r="H944" s="7"/>
      <c r="I944" s="7"/>
      <c r="J944" s="7"/>
      <c r="K944" s="7"/>
    </row>
    <row r="945" spans="1:11" ht="15.75" customHeight="1">
      <c r="A945" s="7" t="str">
        <f t="shared" si="14"/>
        <v/>
      </c>
      <c r="B945" s="7"/>
      <c r="C945" s="7"/>
      <c r="D945" s="7"/>
      <c r="E945" s="7"/>
      <c r="F945" s="7"/>
      <c r="G945" s="7"/>
      <c r="H945" s="7"/>
      <c r="I945" s="7"/>
      <c r="J945" s="7"/>
      <c r="K945" s="7"/>
    </row>
    <row r="946" spans="1:11" ht="15.75" customHeight="1">
      <c r="A946" s="7" t="str">
        <f t="shared" si="14"/>
        <v/>
      </c>
      <c r="B946" s="7"/>
      <c r="C946" s="7"/>
      <c r="D946" s="7"/>
      <c r="E946" s="7"/>
      <c r="F946" s="7"/>
      <c r="G946" s="7"/>
      <c r="H946" s="7"/>
      <c r="I946" s="7"/>
      <c r="J946" s="7"/>
      <c r="K946" s="7"/>
    </row>
    <row r="947" spans="1:11" ht="15.75" customHeight="1">
      <c r="A947" s="7" t="str">
        <f t="shared" si="14"/>
        <v/>
      </c>
      <c r="B947" s="7"/>
      <c r="C947" s="7"/>
      <c r="D947" s="7"/>
      <c r="E947" s="7"/>
      <c r="F947" s="7"/>
      <c r="G947" s="7"/>
      <c r="H947" s="7"/>
      <c r="I947" s="7"/>
      <c r="J947" s="7"/>
      <c r="K947" s="7"/>
    </row>
    <row r="948" spans="1:11" ht="15.75" customHeight="1">
      <c r="A948" s="7" t="str">
        <f t="shared" si="14"/>
        <v/>
      </c>
      <c r="B948" s="7"/>
      <c r="C948" s="7"/>
      <c r="D948" s="7"/>
      <c r="E948" s="7"/>
      <c r="F948" s="7"/>
      <c r="G948" s="7"/>
      <c r="H948" s="7"/>
      <c r="I948" s="7"/>
      <c r="J948" s="7"/>
      <c r="K948" s="7"/>
    </row>
    <row r="949" spans="1:11" ht="15.75" customHeight="1">
      <c r="A949" s="7" t="str">
        <f t="shared" si="14"/>
        <v/>
      </c>
      <c r="B949" s="7"/>
      <c r="C949" s="7"/>
      <c r="D949" s="7"/>
      <c r="E949" s="7"/>
      <c r="F949" s="7"/>
      <c r="G949" s="7"/>
      <c r="H949" s="7"/>
      <c r="I949" s="7"/>
      <c r="J949" s="7"/>
      <c r="K949" s="7"/>
    </row>
    <row r="950" spans="1:11" ht="15.75" customHeight="1">
      <c r="A950" s="7" t="str">
        <f t="shared" si="14"/>
        <v/>
      </c>
      <c r="B950" s="7"/>
      <c r="C950" s="7"/>
      <c r="D950" s="7"/>
      <c r="E950" s="7"/>
      <c r="F950" s="7"/>
      <c r="G950" s="7"/>
      <c r="H950" s="7"/>
      <c r="I950" s="7"/>
      <c r="J950" s="7"/>
      <c r="K950" s="7"/>
    </row>
    <row r="951" spans="1:11" ht="15.75" customHeight="1">
      <c r="A951" s="7" t="str">
        <f t="shared" si="14"/>
        <v/>
      </c>
      <c r="B951" s="7"/>
      <c r="C951" s="7"/>
      <c r="D951" s="7"/>
      <c r="E951" s="7"/>
      <c r="F951" s="7"/>
      <c r="G951" s="7"/>
      <c r="H951" s="7"/>
      <c r="I951" s="7"/>
      <c r="J951" s="7"/>
      <c r="K951" s="7"/>
    </row>
    <row r="952" spans="1:11" ht="15.75" customHeight="1">
      <c r="A952" s="7" t="str">
        <f t="shared" si="14"/>
        <v/>
      </c>
      <c r="B952" s="7"/>
      <c r="C952" s="7"/>
      <c r="D952" s="7"/>
      <c r="E952" s="7"/>
      <c r="F952" s="7"/>
      <c r="G952" s="7"/>
      <c r="H952" s="7"/>
      <c r="I952" s="7"/>
      <c r="J952" s="7"/>
      <c r="K952" s="7"/>
    </row>
    <row r="953" spans="1:11" ht="15.75" customHeight="1">
      <c r="A953" s="7" t="str">
        <f t="shared" si="14"/>
        <v/>
      </c>
      <c r="B953" s="7"/>
      <c r="C953" s="7"/>
      <c r="D953" s="7"/>
      <c r="E953" s="7"/>
      <c r="F953" s="7"/>
      <c r="G953" s="7"/>
      <c r="H953" s="7"/>
      <c r="I953" s="7"/>
      <c r="J953" s="7"/>
      <c r="K953" s="7"/>
    </row>
    <row r="954" spans="1:11" ht="15.75" customHeight="1">
      <c r="A954" s="7" t="str">
        <f t="shared" si="14"/>
        <v/>
      </c>
      <c r="B954" s="7"/>
      <c r="C954" s="7"/>
      <c r="D954" s="7"/>
      <c r="E954" s="7"/>
      <c r="F954" s="7"/>
      <c r="G954" s="7"/>
      <c r="H954" s="7"/>
      <c r="I954" s="7"/>
      <c r="J954" s="7"/>
      <c r="K954" s="7"/>
    </row>
    <row r="955" spans="1:11" ht="15.75" customHeight="1">
      <c r="A955" s="7" t="str">
        <f t="shared" si="14"/>
        <v/>
      </c>
      <c r="B955" s="7"/>
      <c r="C955" s="7"/>
      <c r="D955" s="7"/>
      <c r="E955" s="7"/>
      <c r="F955" s="7"/>
      <c r="G955" s="7"/>
      <c r="H955" s="7"/>
      <c r="I955" s="7"/>
      <c r="J955" s="7"/>
      <c r="K955" s="7"/>
    </row>
    <row r="956" spans="1:11" ht="15.75" customHeight="1">
      <c r="A956" s="7" t="str">
        <f t="shared" si="14"/>
        <v/>
      </c>
      <c r="B956" s="7"/>
      <c r="C956" s="7"/>
      <c r="D956" s="7"/>
      <c r="E956" s="7"/>
      <c r="F956" s="7"/>
      <c r="G956" s="7"/>
      <c r="H956" s="7"/>
      <c r="I956" s="7"/>
      <c r="J956" s="7"/>
      <c r="K956" s="7"/>
    </row>
    <row r="957" spans="1:11" ht="15.75" customHeight="1">
      <c r="A957" s="7" t="str">
        <f t="shared" si="14"/>
        <v/>
      </c>
      <c r="B957" s="7"/>
      <c r="C957" s="7"/>
      <c r="D957" s="7"/>
      <c r="E957" s="7"/>
      <c r="F957" s="7"/>
      <c r="G957" s="7"/>
      <c r="H957" s="7"/>
      <c r="I957" s="7"/>
      <c r="J957" s="7"/>
      <c r="K957" s="7"/>
    </row>
    <row r="958" spans="1:11" ht="15.75" customHeight="1">
      <c r="A958" s="7" t="str">
        <f t="shared" si="14"/>
        <v/>
      </c>
      <c r="B958" s="7"/>
      <c r="C958" s="7"/>
      <c r="D958" s="7"/>
      <c r="E958" s="7"/>
      <c r="F958" s="7"/>
      <c r="G958" s="7"/>
      <c r="H958" s="7"/>
      <c r="I958" s="7"/>
      <c r="J958" s="7"/>
      <c r="K958" s="7"/>
    </row>
    <row r="959" spans="1:11" ht="15.75" customHeight="1">
      <c r="A959" s="7" t="str">
        <f t="shared" si="14"/>
        <v/>
      </c>
      <c r="B959" s="7"/>
      <c r="C959" s="7"/>
      <c r="D959" s="7"/>
      <c r="E959" s="7"/>
      <c r="F959" s="7"/>
      <c r="G959" s="7"/>
      <c r="H959" s="7"/>
      <c r="I959" s="7"/>
      <c r="J959" s="7"/>
      <c r="K959" s="7"/>
    </row>
    <row r="960" spans="1:11" ht="15.75" customHeight="1">
      <c r="A960" s="7" t="str">
        <f t="shared" si="14"/>
        <v/>
      </c>
      <c r="B960" s="7"/>
      <c r="C960" s="7"/>
      <c r="D960" s="7"/>
      <c r="E960" s="7"/>
      <c r="F960" s="7"/>
      <c r="G960" s="7"/>
      <c r="H960" s="7"/>
      <c r="I960" s="7"/>
      <c r="J960" s="7"/>
      <c r="K960" s="7"/>
    </row>
    <row r="961" spans="1:11" ht="15.75" customHeight="1">
      <c r="A961" s="7" t="str">
        <f t="shared" si="14"/>
        <v/>
      </c>
      <c r="B961" s="7"/>
      <c r="C961" s="7"/>
      <c r="D961" s="7"/>
      <c r="E961" s="7"/>
      <c r="F961" s="7"/>
      <c r="G961" s="7"/>
      <c r="H961" s="7"/>
      <c r="I961" s="7"/>
      <c r="J961" s="7"/>
      <c r="K961" s="7"/>
    </row>
    <row r="962" spans="1:11" ht="15.75" customHeight="1">
      <c r="A962" s="7" t="str">
        <f t="shared" si="14"/>
        <v/>
      </c>
      <c r="B962" s="7"/>
      <c r="C962" s="7"/>
      <c r="D962" s="7"/>
      <c r="E962" s="7"/>
      <c r="F962" s="7"/>
      <c r="G962" s="7"/>
      <c r="H962" s="7"/>
      <c r="I962" s="7"/>
      <c r="J962" s="7"/>
      <c r="K962" s="7"/>
    </row>
    <row r="963" spans="1:11" ht="15.75" customHeight="1">
      <c r="A963" s="7" t="str">
        <f t="shared" si="14"/>
        <v/>
      </c>
      <c r="B963" s="7"/>
      <c r="C963" s="7"/>
      <c r="D963" s="7"/>
      <c r="E963" s="7"/>
      <c r="F963" s="7"/>
      <c r="G963" s="7"/>
      <c r="H963" s="7"/>
      <c r="I963" s="7"/>
      <c r="J963" s="7"/>
      <c r="K963" s="7"/>
    </row>
    <row r="964" spans="1:11" ht="15.75" customHeight="1">
      <c r="A964" s="7" t="str">
        <f t="shared" si="14"/>
        <v/>
      </c>
      <c r="B964" s="7"/>
      <c r="C964" s="7"/>
      <c r="D964" s="7"/>
      <c r="E964" s="7"/>
      <c r="F964" s="7"/>
      <c r="G964" s="7"/>
      <c r="H964" s="7"/>
      <c r="I964" s="7"/>
      <c r="J964" s="7"/>
      <c r="K964" s="7"/>
    </row>
    <row r="965" spans="1:11" ht="15.75" customHeight="1">
      <c r="A965" s="7" t="str">
        <f t="shared" ref="A965:A1028" si="15">IF(B965="","","EXE-"&amp;TEXT(ROW()-4,"0000"))</f>
        <v/>
      </c>
      <c r="B965" s="7"/>
      <c r="C965" s="7"/>
      <c r="D965" s="7"/>
      <c r="E965" s="7"/>
      <c r="F965" s="7"/>
      <c r="G965" s="7"/>
      <c r="H965" s="7"/>
      <c r="I965" s="7"/>
      <c r="J965" s="7"/>
      <c r="K965" s="7"/>
    </row>
    <row r="966" spans="1:11" ht="15.75" customHeight="1">
      <c r="A966" s="7" t="str">
        <f t="shared" si="15"/>
        <v/>
      </c>
      <c r="B966" s="7"/>
      <c r="C966" s="7"/>
      <c r="D966" s="7"/>
      <c r="E966" s="7"/>
      <c r="F966" s="7"/>
      <c r="G966" s="7"/>
      <c r="H966" s="7"/>
      <c r="I966" s="7"/>
      <c r="J966" s="7"/>
      <c r="K966" s="7"/>
    </row>
    <row r="967" spans="1:11" ht="15.75" customHeight="1">
      <c r="A967" s="7" t="str">
        <f t="shared" si="15"/>
        <v/>
      </c>
      <c r="B967" s="7"/>
      <c r="C967" s="7"/>
      <c r="D967" s="7"/>
      <c r="E967" s="7"/>
      <c r="F967" s="7"/>
      <c r="G967" s="7"/>
      <c r="H967" s="7"/>
      <c r="I967" s="7"/>
      <c r="J967" s="7"/>
      <c r="K967" s="7"/>
    </row>
    <row r="968" spans="1:11" ht="15.75" customHeight="1">
      <c r="A968" s="7" t="str">
        <f t="shared" si="15"/>
        <v/>
      </c>
      <c r="B968" s="7"/>
      <c r="C968" s="7"/>
      <c r="D968" s="7"/>
      <c r="E968" s="7"/>
      <c r="F968" s="7"/>
      <c r="G968" s="7"/>
      <c r="H968" s="7"/>
      <c r="I968" s="7"/>
      <c r="J968" s="7"/>
      <c r="K968" s="7"/>
    </row>
    <row r="969" spans="1:11" ht="15.75" customHeight="1">
      <c r="A969" s="7" t="str">
        <f t="shared" si="15"/>
        <v/>
      </c>
      <c r="B969" s="7"/>
      <c r="C969" s="7"/>
      <c r="D969" s="7"/>
      <c r="E969" s="7"/>
      <c r="F969" s="7"/>
      <c r="G969" s="7"/>
      <c r="H969" s="7"/>
      <c r="I969" s="7"/>
      <c r="J969" s="7"/>
      <c r="K969" s="7"/>
    </row>
    <row r="970" spans="1:11" ht="15.75" customHeight="1">
      <c r="A970" s="7" t="str">
        <f t="shared" si="15"/>
        <v/>
      </c>
      <c r="B970" s="7"/>
      <c r="C970" s="7"/>
      <c r="D970" s="7"/>
      <c r="E970" s="7"/>
      <c r="F970" s="7"/>
      <c r="G970" s="7"/>
      <c r="H970" s="7"/>
      <c r="I970" s="7"/>
      <c r="J970" s="7"/>
      <c r="K970" s="7"/>
    </row>
    <row r="971" spans="1:11" ht="15.75" customHeight="1">
      <c r="A971" s="7" t="str">
        <f t="shared" si="15"/>
        <v/>
      </c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 spans="1:11" ht="15.75" customHeight="1">
      <c r="A972" s="7" t="str">
        <f t="shared" si="15"/>
        <v/>
      </c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 spans="1:11" ht="15.75" customHeight="1">
      <c r="A973" s="7" t="str">
        <f t="shared" si="15"/>
        <v/>
      </c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 spans="1:11" ht="15.75" customHeight="1">
      <c r="A974" s="7" t="str">
        <f t="shared" si="15"/>
        <v/>
      </c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 spans="1:11" ht="15.75" customHeight="1">
      <c r="A975" s="7" t="str">
        <f t="shared" si="15"/>
        <v/>
      </c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 spans="1:11" ht="15.75" customHeight="1">
      <c r="A976" s="7" t="str">
        <f t="shared" si="15"/>
        <v/>
      </c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 spans="1:11" ht="15.75" customHeight="1">
      <c r="A977" s="7" t="str">
        <f t="shared" si="15"/>
        <v/>
      </c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 spans="1:11" ht="15.75" customHeight="1">
      <c r="A978" s="7" t="str">
        <f t="shared" si="15"/>
        <v/>
      </c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 spans="1:11" ht="15.75" customHeight="1">
      <c r="A979" s="7" t="str">
        <f t="shared" si="15"/>
        <v/>
      </c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 spans="1:11" ht="15.75" customHeight="1">
      <c r="A980" s="7" t="str">
        <f t="shared" si="15"/>
        <v/>
      </c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 spans="1:11" ht="15.75" customHeight="1">
      <c r="A981" s="7" t="str">
        <f t="shared" si="15"/>
        <v/>
      </c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 spans="1:11" ht="15.75" customHeight="1">
      <c r="A982" s="7" t="str">
        <f t="shared" si="15"/>
        <v/>
      </c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 spans="1:11" ht="15.75" customHeight="1">
      <c r="A983" s="7" t="str">
        <f t="shared" si="15"/>
        <v/>
      </c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 spans="1:11" ht="15.75" customHeight="1">
      <c r="A984" s="7" t="str">
        <f t="shared" si="15"/>
        <v/>
      </c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 spans="1:11" ht="15.75" customHeight="1">
      <c r="A985" s="7" t="str">
        <f t="shared" si="15"/>
        <v/>
      </c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 spans="1:11" ht="15.75" customHeight="1">
      <c r="A986" s="7" t="str">
        <f t="shared" si="15"/>
        <v/>
      </c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 spans="1:11" ht="15.75" customHeight="1">
      <c r="A987" s="7" t="str">
        <f t="shared" si="15"/>
        <v/>
      </c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 spans="1:11" ht="15.75" customHeight="1">
      <c r="A988" s="7" t="str">
        <f t="shared" si="15"/>
        <v/>
      </c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 spans="1:11" ht="15.75" customHeight="1">
      <c r="A989" s="7" t="str">
        <f t="shared" si="15"/>
        <v/>
      </c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 spans="1:11" ht="15.75" customHeight="1">
      <c r="A990" s="7" t="str">
        <f t="shared" si="15"/>
        <v/>
      </c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 spans="1:11" ht="15.75" customHeight="1">
      <c r="A991" s="7" t="str">
        <f t="shared" si="15"/>
        <v/>
      </c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 spans="1:11" ht="15.75" customHeight="1">
      <c r="A992" s="7" t="str">
        <f t="shared" si="15"/>
        <v/>
      </c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 spans="1:11" ht="15.75" customHeight="1">
      <c r="A993" s="7" t="str">
        <f t="shared" si="15"/>
        <v/>
      </c>
      <c r="B993" s="7"/>
      <c r="C993" s="7"/>
      <c r="D993" s="7"/>
      <c r="E993" s="7"/>
      <c r="F993" s="7"/>
      <c r="G993" s="7"/>
      <c r="H993" s="7"/>
      <c r="I993" s="7"/>
      <c r="J993" s="7"/>
      <c r="K993" s="7"/>
    </row>
    <row r="994" spans="1:11" ht="15.75" customHeight="1">
      <c r="A994" s="7" t="str">
        <f t="shared" si="15"/>
        <v/>
      </c>
      <c r="B994" s="7"/>
      <c r="C994" s="7"/>
      <c r="D994" s="7"/>
      <c r="E994" s="7"/>
      <c r="F994" s="7"/>
      <c r="G994" s="7"/>
      <c r="H994" s="7"/>
      <c r="I994" s="7"/>
      <c r="J994" s="7"/>
      <c r="K994" s="7"/>
    </row>
    <row r="995" spans="1:11" ht="15.75" customHeight="1">
      <c r="A995" s="7" t="str">
        <f t="shared" si="15"/>
        <v/>
      </c>
      <c r="B995" s="7"/>
      <c r="C995" s="7"/>
      <c r="D995" s="7"/>
      <c r="E995" s="7"/>
      <c r="F995" s="7"/>
      <c r="G995" s="7"/>
      <c r="H995" s="7"/>
      <c r="I995" s="7"/>
      <c r="J995" s="7"/>
      <c r="K995" s="7"/>
    </row>
    <row r="996" spans="1:11" ht="15.75" customHeight="1">
      <c r="A996" s="7" t="str">
        <f t="shared" si="15"/>
        <v/>
      </c>
      <c r="B996" s="7"/>
      <c r="C996" s="7"/>
      <c r="D996" s="7"/>
      <c r="E996" s="7"/>
      <c r="F996" s="7"/>
      <c r="G996" s="7"/>
      <c r="H996" s="7"/>
      <c r="I996" s="7"/>
      <c r="J996" s="7"/>
      <c r="K996" s="7"/>
    </row>
    <row r="997" spans="1:11" ht="15.75" customHeight="1">
      <c r="A997" s="7" t="str">
        <f t="shared" si="15"/>
        <v/>
      </c>
      <c r="B997" s="7"/>
      <c r="C997" s="7"/>
      <c r="D997" s="7"/>
      <c r="E997" s="7"/>
      <c r="F997" s="7"/>
      <c r="G997" s="7"/>
      <c r="H997" s="7"/>
      <c r="I997" s="7"/>
      <c r="J997" s="7"/>
      <c r="K997" s="7"/>
    </row>
    <row r="998" spans="1:11" ht="15.75" customHeight="1">
      <c r="A998" s="7" t="str">
        <f t="shared" si="15"/>
        <v/>
      </c>
      <c r="B998" s="7"/>
      <c r="C998" s="7"/>
      <c r="D998" s="7"/>
      <c r="E998" s="7"/>
      <c r="F998" s="7"/>
      <c r="G998" s="7"/>
      <c r="H998" s="7"/>
      <c r="I998" s="7"/>
      <c r="J998" s="7"/>
      <c r="K998" s="7"/>
    </row>
    <row r="999" spans="1:11" ht="15.75" customHeight="1">
      <c r="A999" s="7" t="str">
        <f t="shared" si="15"/>
        <v/>
      </c>
      <c r="B999" s="7"/>
      <c r="C999" s="7"/>
      <c r="D999" s="7"/>
      <c r="E999" s="7"/>
      <c r="F999" s="7"/>
      <c r="G999" s="7"/>
      <c r="H999" s="7"/>
      <c r="I999" s="7"/>
      <c r="J999" s="7"/>
      <c r="K999" s="7"/>
    </row>
    <row r="1000" spans="1:11" ht="15.75" customHeight="1">
      <c r="A1000" s="7" t="str">
        <f t="shared" si="15"/>
        <v/>
      </c>
      <c r="B1000" s="7"/>
      <c r="C1000" s="7"/>
      <c r="D1000" s="7"/>
      <c r="E1000" s="7"/>
      <c r="F1000" s="7"/>
      <c r="G1000" s="7"/>
      <c r="H1000" s="7"/>
      <c r="I1000" s="7"/>
      <c r="J1000" s="7"/>
      <c r="K1000" s="7"/>
    </row>
    <row r="1001" spans="1:11" ht="15.75" customHeight="1">
      <c r="A1001" s="7" t="str">
        <f t="shared" si="15"/>
        <v/>
      </c>
      <c r="B1001" s="7"/>
      <c r="C1001" s="7"/>
      <c r="D1001" s="7"/>
      <c r="E1001" s="7"/>
      <c r="F1001" s="7"/>
      <c r="G1001" s="7"/>
      <c r="H1001" s="7"/>
      <c r="I1001" s="7"/>
      <c r="J1001" s="7"/>
      <c r="K1001" s="7"/>
    </row>
    <row r="1002" spans="1:11" ht="15.75" customHeight="1">
      <c r="A1002" s="7" t="str">
        <f t="shared" si="15"/>
        <v/>
      </c>
      <c r="B1002" s="7"/>
      <c r="C1002" s="7"/>
      <c r="D1002" s="7"/>
      <c r="E1002" s="7"/>
      <c r="F1002" s="7"/>
      <c r="G1002" s="7"/>
      <c r="H1002" s="7"/>
      <c r="I1002" s="7"/>
      <c r="J1002" s="7"/>
      <c r="K1002" s="7"/>
    </row>
    <row r="1003" spans="1:11" ht="15.75" customHeight="1">
      <c r="A1003" s="7" t="str">
        <f t="shared" si="15"/>
        <v/>
      </c>
      <c r="B1003" s="7"/>
      <c r="C1003" s="7"/>
      <c r="D1003" s="7"/>
      <c r="E1003" s="7"/>
      <c r="F1003" s="7"/>
      <c r="G1003" s="7"/>
      <c r="H1003" s="7"/>
      <c r="I1003" s="7"/>
      <c r="J1003" s="7"/>
      <c r="K1003" s="7"/>
    </row>
    <row r="1004" spans="1:11" ht="15.75" customHeight="1">
      <c r="A1004" s="7" t="str">
        <f t="shared" si="15"/>
        <v/>
      </c>
      <c r="B1004" s="7"/>
      <c r="C1004" s="7"/>
      <c r="D1004" s="7"/>
      <c r="E1004" s="7"/>
      <c r="F1004" s="7"/>
      <c r="G1004" s="7"/>
      <c r="H1004" s="7"/>
      <c r="I1004" s="7"/>
      <c r="J1004" s="7"/>
      <c r="K1004" s="7"/>
    </row>
    <row r="1005" spans="1:11" ht="14.25" customHeight="1"/>
  </sheetData>
  <mergeCells count="2">
    <mergeCell ref="A2:K2"/>
    <mergeCell ref="A1:K1"/>
  </mergeCells>
  <conditionalFormatting sqref="G5:G1004">
    <cfRule type="expression" dxfId="5" priority="1">
      <formula>G5="Passed"</formula>
    </cfRule>
    <cfRule type="expression" dxfId="4" priority="2">
      <formula>G5="Failed"</formula>
    </cfRule>
    <cfRule type="expression" dxfId="3" priority="3">
      <formula>G5="Blocked"</formula>
    </cfRule>
    <cfRule type="expression" dxfId="2" priority="4">
      <formula>G5="Not Executed"</formula>
    </cfRule>
  </conditionalFormatting>
  <dataValidations count="4">
    <dataValidation type="list" allowBlank="1" sqref="E5:E1004" xr:uid="{00000000-0002-0000-1000-000000000000}">
      <formula1>"Chrome,Edge,Firefox,Opera,N/A"</formula1>
    </dataValidation>
    <dataValidation type="list" allowBlank="1" sqref="G5:G1004" xr:uid="{00000000-0002-0000-1000-000001000000}">
      <formula1>"Not Executed,Passed,Failed,Blocked,Not Applicable"</formula1>
    </dataValidation>
    <dataValidation type="list" allowBlank="1" sqref="C5:C1004" xr:uid="{00000000-0002-0000-1000-000002000000}">
      <formula1>"Login &amp; Session,Product Listing,Product Sorting,Product Detail,Cart,Checkout Information,Checkout Overview,Order Completion,Menu &amp; Navigation,Reset App State,Access &amp; Session Control,Footer &amp; External Links,Interface / Responsive,Core Workflows"</formula1>
    </dataValidation>
    <dataValidation type="list" allowBlank="1" sqref="D5:D1004" xr:uid="{00000000-0002-0000-1000-000003000000}">
      <formula1>"N/A,standard_user,locked_out_user,problem_user,performance_glitch_user,error_user,visual_user,Multiple Relevant Users,All Applicable Users,Representative User"</formula1>
    </dataValidation>
  </dataValidation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000"/>
  <sheetViews>
    <sheetView workbookViewId="0">
      <selection sqref="A1:J1"/>
    </sheetView>
  </sheetViews>
  <sheetFormatPr defaultColWidth="12.625" defaultRowHeight="15" customHeight="1"/>
  <cols>
    <col min="1" max="1" width="14" customWidth="1"/>
    <col min="2" max="2" width="36" customWidth="1"/>
    <col min="3" max="3" width="24" customWidth="1"/>
    <col min="4" max="4" width="20" customWidth="1"/>
    <col min="5" max="5" width="24" customWidth="1"/>
    <col min="6" max="6" width="16" customWidth="1"/>
    <col min="7" max="7" width="14" customWidth="1"/>
    <col min="8" max="8" width="16" customWidth="1"/>
    <col min="9" max="9" width="54" customWidth="1"/>
    <col min="10" max="10" width="38" customWidth="1"/>
    <col min="11" max="11" width="8.625" customWidth="1"/>
    <col min="12" max="12" width="20" customWidth="1"/>
    <col min="13" max="13" width="12" customWidth="1"/>
    <col min="14" max="26" width="8.625" customWidth="1"/>
  </cols>
  <sheetData>
    <row r="1" spans="1:13" ht="19.5" customHeight="1">
      <c r="A1" s="12" t="s">
        <v>1251</v>
      </c>
      <c r="B1" s="11"/>
      <c r="C1" s="11"/>
      <c r="D1" s="11"/>
      <c r="E1" s="11"/>
      <c r="F1" s="11"/>
      <c r="G1" s="11"/>
      <c r="H1" s="11"/>
      <c r="I1" s="11"/>
      <c r="J1" s="11"/>
      <c r="L1" s="10" t="s">
        <v>1252</v>
      </c>
      <c r="M1" s="11"/>
    </row>
    <row r="2" spans="1:13">
      <c r="A2" s="10" t="s">
        <v>1253</v>
      </c>
      <c r="B2" s="11"/>
      <c r="C2" s="11"/>
      <c r="D2" s="11"/>
      <c r="E2" s="11"/>
      <c r="F2" s="11"/>
      <c r="G2" s="11"/>
      <c r="H2" s="11"/>
      <c r="I2" s="11"/>
      <c r="J2" s="11"/>
      <c r="L2" s="3" t="s">
        <v>1254</v>
      </c>
      <c r="M2" s="3">
        <f>COUNTIF($B$5:$B$304,"&lt;&gt;")</f>
        <v>0</v>
      </c>
    </row>
    <row r="3" spans="1:13" ht="14.25" customHeight="1">
      <c r="L3" s="3" t="s">
        <v>1255</v>
      </c>
      <c r="M3" s="3">
        <f>COUNTIF($H$5:$H$304,"Open")</f>
        <v>0</v>
      </c>
    </row>
    <row r="4" spans="1:13">
      <c r="A4" s="6" t="s">
        <v>1256</v>
      </c>
      <c r="B4" s="6" t="s">
        <v>1257</v>
      </c>
      <c r="C4" s="6" t="s">
        <v>4</v>
      </c>
      <c r="D4" s="6" t="s">
        <v>1258</v>
      </c>
      <c r="E4" s="6" t="s">
        <v>5</v>
      </c>
      <c r="F4" s="6" t="s">
        <v>6</v>
      </c>
      <c r="G4" s="6" t="s">
        <v>1259</v>
      </c>
      <c r="H4" s="6" t="s">
        <v>8</v>
      </c>
      <c r="I4" s="6" t="s">
        <v>1260</v>
      </c>
      <c r="J4" s="6" t="s">
        <v>12</v>
      </c>
      <c r="L4" s="3" t="s">
        <v>1261</v>
      </c>
      <c r="M4" s="3">
        <f>COUNTIF($H$5:$H$304,"In Progress")</f>
        <v>0</v>
      </c>
    </row>
    <row r="5" spans="1:13" ht="14.25" customHeight="1">
      <c r="A5" s="2" t="str">
        <f t="shared" ref="A5:A68" si="0">IF(B5="","","DEF-"&amp;TEXT(ROW()-4,"0000"))</f>
        <v/>
      </c>
      <c r="B5" s="2"/>
      <c r="C5" s="2"/>
      <c r="D5" s="2"/>
      <c r="E5" s="2"/>
      <c r="F5" s="2"/>
      <c r="G5" s="2"/>
      <c r="H5" s="2"/>
      <c r="I5" s="2"/>
      <c r="J5" s="2"/>
      <c r="L5" s="3" t="s">
        <v>1262</v>
      </c>
      <c r="M5" s="3">
        <f>COUNTIF($H$5:$H$304,"Resolved")</f>
        <v>0</v>
      </c>
    </row>
    <row r="6" spans="1:13" ht="14.25" customHeight="1">
      <c r="A6" s="2" t="str">
        <f t="shared" si="0"/>
        <v/>
      </c>
      <c r="B6" s="2"/>
      <c r="C6" s="2"/>
      <c r="D6" s="2"/>
      <c r="E6" s="2"/>
      <c r="F6" s="2"/>
      <c r="G6" s="2"/>
      <c r="H6" s="2"/>
      <c r="I6" s="2"/>
      <c r="J6" s="2"/>
      <c r="L6" s="3" t="s">
        <v>1263</v>
      </c>
      <c r="M6" s="3">
        <f>COUNTIF($H$5:$H$304,"Closed")</f>
        <v>0</v>
      </c>
    </row>
    <row r="7" spans="1:13" ht="14.25" customHeight="1">
      <c r="A7" s="2" t="str">
        <f t="shared" si="0"/>
        <v/>
      </c>
      <c r="B7" s="2"/>
      <c r="C7" s="2"/>
      <c r="D7" s="2"/>
      <c r="E7" s="2"/>
      <c r="F7" s="2"/>
      <c r="G7" s="2"/>
      <c r="H7" s="2"/>
      <c r="I7" s="2"/>
      <c r="J7" s="2"/>
      <c r="L7" s="3" t="s">
        <v>1264</v>
      </c>
      <c r="M7" s="3">
        <f>COUNTIF($G$5:$G$304,"Critical")</f>
        <v>0</v>
      </c>
    </row>
    <row r="8" spans="1:13" ht="14.25" customHeight="1">
      <c r="A8" s="2" t="str">
        <f t="shared" si="0"/>
        <v/>
      </c>
      <c r="B8" s="2"/>
      <c r="C8" s="2"/>
      <c r="D8" s="2"/>
      <c r="E8" s="2"/>
      <c r="F8" s="2"/>
      <c r="G8" s="2"/>
      <c r="H8" s="2"/>
      <c r="I8" s="2"/>
      <c r="J8" s="2"/>
      <c r="L8" s="3" t="s">
        <v>1265</v>
      </c>
      <c r="M8" s="3">
        <f>COUNTIF($G$5:$G$304,"High")</f>
        <v>0</v>
      </c>
    </row>
    <row r="9" spans="1:13" ht="14.25" customHeight="1">
      <c r="A9" s="2" t="str">
        <f t="shared" si="0"/>
        <v/>
      </c>
      <c r="B9" s="2"/>
      <c r="C9" s="2"/>
      <c r="D9" s="2"/>
      <c r="E9" s="2"/>
      <c r="F9" s="2"/>
      <c r="G9" s="2"/>
      <c r="H9" s="2"/>
      <c r="I9" s="2"/>
      <c r="J9" s="2"/>
      <c r="L9" s="3" t="s">
        <v>1266</v>
      </c>
      <c r="M9" s="3">
        <f>COUNTIF($G$5:$G$304,"Medium")</f>
        <v>0</v>
      </c>
    </row>
    <row r="10" spans="1:13" ht="14.25" customHeight="1">
      <c r="A10" s="2" t="str">
        <f t="shared" si="0"/>
        <v/>
      </c>
      <c r="B10" s="2"/>
      <c r="C10" s="2"/>
      <c r="D10" s="2"/>
      <c r="E10" s="2"/>
      <c r="F10" s="2"/>
      <c r="G10" s="2"/>
      <c r="H10" s="2"/>
      <c r="I10" s="2"/>
      <c r="J10" s="2"/>
    </row>
    <row r="11" spans="1:13" ht="14.25" customHeight="1">
      <c r="A11" s="2" t="str">
        <f t="shared" si="0"/>
        <v/>
      </c>
      <c r="B11" s="2"/>
      <c r="C11" s="2"/>
      <c r="D11" s="2"/>
      <c r="E11" s="2"/>
      <c r="F11" s="2"/>
      <c r="G11" s="2"/>
      <c r="H11" s="2"/>
      <c r="I11" s="2"/>
      <c r="J11" s="2"/>
    </row>
    <row r="12" spans="1:13" ht="14.25" customHeight="1">
      <c r="A12" s="2" t="str">
        <f t="shared" si="0"/>
        <v/>
      </c>
      <c r="B12" s="2"/>
      <c r="C12" s="2"/>
      <c r="D12" s="2"/>
      <c r="E12" s="2"/>
      <c r="F12" s="2"/>
      <c r="G12" s="2"/>
      <c r="H12" s="2"/>
      <c r="I12" s="2"/>
      <c r="J12" s="2"/>
    </row>
    <row r="13" spans="1:13" ht="14.25" customHeight="1">
      <c r="A13" s="2" t="str">
        <f t="shared" si="0"/>
        <v/>
      </c>
      <c r="B13" s="2"/>
      <c r="C13" s="2"/>
      <c r="D13" s="2"/>
      <c r="E13" s="2"/>
      <c r="F13" s="2"/>
      <c r="G13" s="2"/>
      <c r="H13" s="2"/>
      <c r="I13" s="2"/>
      <c r="J13" s="2"/>
    </row>
    <row r="14" spans="1:13" ht="14.25" customHeight="1">
      <c r="A14" s="2" t="str">
        <f t="shared" si="0"/>
        <v/>
      </c>
      <c r="B14" s="2"/>
      <c r="C14" s="2"/>
      <c r="D14" s="2"/>
      <c r="E14" s="2"/>
      <c r="F14" s="2"/>
      <c r="G14" s="2"/>
      <c r="H14" s="2"/>
      <c r="I14" s="2"/>
      <c r="J14" s="2"/>
    </row>
    <row r="15" spans="1:13" ht="14.25" customHeight="1">
      <c r="A15" s="2" t="str">
        <f t="shared" si="0"/>
        <v/>
      </c>
      <c r="B15" s="2"/>
      <c r="C15" s="2"/>
      <c r="D15" s="2"/>
      <c r="E15" s="2"/>
      <c r="F15" s="2"/>
      <c r="G15" s="2"/>
      <c r="H15" s="2"/>
      <c r="I15" s="2"/>
      <c r="J15" s="2"/>
    </row>
    <row r="16" spans="1:13" ht="14.25" customHeight="1">
      <c r="A16" s="2" t="str">
        <f t="shared" si="0"/>
        <v/>
      </c>
      <c r="B16" s="2"/>
      <c r="C16" s="2"/>
      <c r="D16" s="2"/>
      <c r="E16" s="2"/>
      <c r="F16" s="2"/>
      <c r="G16" s="2"/>
      <c r="H16" s="2"/>
      <c r="I16" s="2"/>
      <c r="J16" s="2"/>
    </row>
    <row r="17" spans="1:10" ht="14.25" customHeight="1">
      <c r="A17" s="2" t="str">
        <f t="shared" si="0"/>
        <v/>
      </c>
      <c r="B17" s="2"/>
      <c r="C17" s="2"/>
      <c r="D17" s="2"/>
      <c r="E17" s="2"/>
      <c r="F17" s="2"/>
      <c r="G17" s="2"/>
      <c r="H17" s="2"/>
      <c r="I17" s="2"/>
      <c r="J17" s="2"/>
    </row>
    <row r="18" spans="1:10" ht="14.25" customHeight="1">
      <c r="A18" s="2" t="str">
        <f t="shared" si="0"/>
        <v/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14.25" customHeight="1">
      <c r="A19" s="2" t="str">
        <f t="shared" si="0"/>
        <v/>
      </c>
      <c r="B19" s="2"/>
      <c r="C19" s="2"/>
      <c r="D19" s="2"/>
      <c r="E19" s="2"/>
      <c r="F19" s="2"/>
      <c r="G19" s="2"/>
      <c r="H19" s="2"/>
      <c r="I19" s="2"/>
      <c r="J19" s="2"/>
    </row>
    <row r="20" spans="1:10" ht="14.25" customHeight="1">
      <c r="A20" s="2" t="str">
        <f t="shared" si="0"/>
        <v/>
      </c>
      <c r="B20" s="2"/>
      <c r="C20" s="2"/>
      <c r="D20" s="2"/>
      <c r="E20" s="2"/>
      <c r="F20" s="2"/>
      <c r="G20" s="2"/>
      <c r="H20" s="2"/>
      <c r="I20" s="2"/>
      <c r="J20" s="2"/>
    </row>
    <row r="21" spans="1:10" ht="15.75" customHeight="1">
      <c r="A21" s="2" t="str">
        <f t="shared" si="0"/>
        <v/>
      </c>
      <c r="B21" s="2"/>
      <c r="C21" s="2"/>
      <c r="D21" s="2"/>
      <c r="E21" s="2"/>
      <c r="F21" s="2"/>
      <c r="G21" s="2"/>
      <c r="H21" s="2"/>
      <c r="I21" s="2"/>
      <c r="J21" s="2"/>
    </row>
    <row r="22" spans="1:10" ht="15.75" customHeight="1">
      <c r="A22" s="2" t="str">
        <f t="shared" si="0"/>
        <v/>
      </c>
      <c r="B22" s="2"/>
      <c r="C22" s="2"/>
      <c r="D22" s="2"/>
      <c r="E22" s="2"/>
      <c r="F22" s="2"/>
      <c r="G22" s="2"/>
      <c r="H22" s="2"/>
      <c r="I22" s="2"/>
      <c r="J22" s="2"/>
    </row>
    <row r="23" spans="1:10" ht="15.75" customHeight="1">
      <c r="A23" s="2" t="str">
        <f t="shared" si="0"/>
        <v/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15.75" customHeight="1">
      <c r="A24" s="2" t="str">
        <f t="shared" si="0"/>
        <v/>
      </c>
      <c r="B24" s="2"/>
      <c r="C24" s="2"/>
      <c r="D24" s="2"/>
      <c r="E24" s="2"/>
      <c r="F24" s="2"/>
      <c r="G24" s="2"/>
      <c r="H24" s="2"/>
      <c r="I24" s="2"/>
      <c r="J24" s="2"/>
    </row>
    <row r="25" spans="1:10" ht="15.75" customHeight="1">
      <c r="A25" s="2" t="str">
        <f t="shared" si="0"/>
        <v/>
      </c>
      <c r="B25" s="2"/>
      <c r="C25" s="2"/>
      <c r="D25" s="2"/>
      <c r="E25" s="2"/>
      <c r="F25" s="2"/>
      <c r="G25" s="2"/>
      <c r="H25" s="2"/>
      <c r="I25" s="2"/>
      <c r="J25" s="2"/>
    </row>
    <row r="26" spans="1:10" ht="15.75" customHeight="1">
      <c r="A26" s="2" t="str">
        <f t="shared" si="0"/>
        <v/>
      </c>
      <c r="B26" s="2"/>
      <c r="C26" s="2"/>
      <c r="D26" s="2"/>
      <c r="E26" s="2"/>
      <c r="F26" s="2"/>
      <c r="G26" s="2"/>
      <c r="H26" s="2"/>
      <c r="I26" s="2"/>
      <c r="J26" s="2"/>
    </row>
    <row r="27" spans="1:10" ht="15.75" customHeight="1">
      <c r="A27" s="2" t="str">
        <f t="shared" si="0"/>
        <v/>
      </c>
      <c r="B27" s="2"/>
      <c r="C27" s="2"/>
      <c r="D27" s="2"/>
      <c r="E27" s="2"/>
      <c r="F27" s="2"/>
      <c r="G27" s="2"/>
      <c r="H27" s="2"/>
      <c r="I27" s="2"/>
      <c r="J27" s="2"/>
    </row>
    <row r="28" spans="1:10" ht="15.75" customHeight="1">
      <c r="A28" s="2" t="str">
        <f t="shared" si="0"/>
        <v/>
      </c>
      <c r="B28" s="2"/>
      <c r="C28" s="2"/>
      <c r="D28" s="2"/>
      <c r="E28" s="2"/>
      <c r="F28" s="2"/>
      <c r="G28" s="2"/>
      <c r="H28" s="2"/>
      <c r="I28" s="2"/>
      <c r="J28" s="2"/>
    </row>
    <row r="29" spans="1:10" ht="15.75" customHeight="1">
      <c r="A29" s="2" t="str">
        <f t="shared" si="0"/>
        <v/>
      </c>
      <c r="B29" s="2"/>
      <c r="C29" s="2"/>
      <c r="D29" s="2"/>
      <c r="E29" s="2"/>
      <c r="F29" s="2"/>
      <c r="G29" s="2"/>
      <c r="H29" s="2"/>
      <c r="I29" s="2"/>
      <c r="J29" s="2"/>
    </row>
    <row r="30" spans="1:10" ht="15.75" customHeight="1">
      <c r="A30" s="2" t="str">
        <f t="shared" si="0"/>
        <v/>
      </c>
      <c r="B30" s="2"/>
      <c r="C30" s="2"/>
      <c r="D30" s="2"/>
      <c r="E30" s="2"/>
      <c r="F30" s="2"/>
      <c r="G30" s="2"/>
      <c r="H30" s="2"/>
      <c r="I30" s="2"/>
      <c r="J30" s="2"/>
    </row>
    <row r="31" spans="1:10" ht="15.75" customHeight="1">
      <c r="A31" s="2" t="str">
        <f t="shared" si="0"/>
        <v/>
      </c>
      <c r="B31" s="2"/>
      <c r="C31" s="2"/>
      <c r="D31" s="2"/>
      <c r="E31" s="2"/>
      <c r="F31" s="2"/>
      <c r="G31" s="2"/>
      <c r="H31" s="2"/>
      <c r="I31" s="2"/>
      <c r="J31" s="2"/>
    </row>
    <row r="32" spans="1:10" ht="15.75" customHeight="1">
      <c r="A32" s="2" t="str">
        <f t="shared" si="0"/>
        <v/>
      </c>
      <c r="B32" s="2"/>
      <c r="C32" s="2"/>
      <c r="D32" s="2"/>
      <c r="E32" s="2"/>
      <c r="F32" s="2"/>
      <c r="G32" s="2"/>
      <c r="H32" s="2"/>
      <c r="I32" s="2"/>
      <c r="J32" s="2"/>
    </row>
    <row r="33" spans="1:10" ht="15.75" customHeight="1">
      <c r="A33" s="2" t="str">
        <f t="shared" si="0"/>
        <v/>
      </c>
      <c r="B33" s="2"/>
      <c r="C33" s="2"/>
      <c r="D33" s="2"/>
      <c r="E33" s="2"/>
      <c r="F33" s="2"/>
      <c r="G33" s="2"/>
      <c r="H33" s="2"/>
      <c r="I33" s="2"/>
      <c r="J33" s="2"/>
    </row>
    <row r="34" spans="1:10" ht="15.75" customHeight="1">
      <c r="A34" s="2" t="str">
        <f t="shared" si="0"/>
        <v/>
      </c>
      <c r="B34" s="2"/>
      <c r="C34" s="2"/>
      <c r="D34" s="2"/>
      <c r="E34" s="2"/>
      <c r="F34" s="2"/>
      <c r="G34" s="2"/>
      <c r="H34" s="2"/>
      <c r="I34" s="2"/>
      <c r="J34" s="2"/>
    </row>
    <row r="35" spans="1:10" ht="15.75" customHeight="1">
      <c r="A35" s="2" t="str">
        <f t="shared" si="0"/>
        <v/>
      </c>
      <c r="B35" s="2"/>
      <c r="C35" s="2"/>
      <c r="D35" s="2"/>
      <c r="E35" s="2"/>
      <c r="F35" s="2"/>
      <c r="G35" s="2"/>
      <c r="H35" s="2"/>
      <c r="I35" s="2"/>
      <c r="J35" s="2"/>
    </row>
    <row r="36" spans="1:10" ht="15.75" customHeight="1">
      <c r="A36" s="2" t="str">
        <f t="shared" si="0"/>
        <v/>
      </c>
      <c r="B36" s="2"/>
      <c r="C36" s="2"/>
      <c r="D36" s="2"/>
      <c r="E36" s="2"/>
      <c r="F36" s="2"/>
      <c r="G36" s="2"/>
      <c r="H36" s="2"/>
      <c r="I36" s="2"/>
      <c r="J36" s="2"/>
    </row>
    <row r="37" spans="1:10" ht="15.75" customHeight="1">
      <c r="A37" s="2" t="str">
        <f t="shared" si="0"/>
        <v/>
      </c>
      <c r="B37" s="2"/>
      <c r="C37" s="2"/>
      <c r="D37" s="2"/>
      <c r="E37" s="2"/>
      <c r="F37" s="2"/>
      <c r="G37" s="2"/>
      <c r="H37" s="2"/>
      <c r="I37" s="2"/>
      <c r="J37" s="2"/>
    </row>
    <row r="38" spans="1:10" ht="15.75" customHeight="1">
      <c r="A38" s="2" t="str">
        <f t="shared" si="0"/>
        <v/>
      </c>
      <c r="B38" s="2"/>
      <c r="C38" s="2"/>
      <c r="D38" s="2"/>
      <c r="E38" s="2"/>
      <c r="F38" s="2"/>
      <c r="G38" s="2"/>
      <c r="H38" s="2"/>
      <c r="I38" s="2"/>
      <c r="J38" s="2"/>
    </row>
    <row r="39" spans="1:10" ht="15.75" customHeight="1">
      <c r="A39" s="2" t="str">
        <f t="shared" si="0"/>
        <v/>
      </c>
      <c r="B39" s="2"/>
      <c r="C39" s="2"/>
      <c r="D39" s="2"/>
      <c r="E39" s="2"/>
      <c r="F39" s="2"/>
      <c r="G39" s="2"/>
      <c r="H39" s="2"/>
      <c r="I39" s="2"/>
      <c r="J39" s="2"/>
    </row>
    <row r="40" spans="1:10" ht="15.75" customHeight="1">
      <c r="A40" s="2" t="str">
        <f t="shared" si="0"/>
        <v/>
      </c>
      <c r="B40" s="2"/>
      <c r="C40" s="2"/>
      <c r="D40" s="2"/>
      <c r="E40" s="2"/>
      <c r="F40" s="2"/>
      <c r="G40" s="2"/>
      <c r="H40" s="2"/>
      <c r="I40" s="2"/>
      <c r="J40" s="2"/>
    </row>
    <row r="41" spans="1:10" ht="15.75" customHeight="1">
      <c r="A41" s="2" t="str">
        <f t="shared" si="0"/>
        <v/>
      </c>
      <c r="B41" s="2"/>
      <c r="C41" s="2"/>
      <c r="D41" s="2"/>
      <c r="E41" s="2"/>
      <c r="F41" s="2"/>
      <c r="G41" s="2"/>
      <c r="H41" s="2"/>
      <c r="I41" s="2"/>
      <c r="J41" s="2"/>
    </row>
    <row r="42" spans="1:10" ht="15.75" customHeight="1">
      <c r="A42" s="2" t="str">
        <f t="shared" si="0"/>
        <v/>
      </c>
      <c r="B42" s="2"/>
      <c r="C42" s="2"/>
      <c r="D42" s="2"/>
      <c r="E42" s="2"/>
      <c r="F42" s="2"/>
      <c r="G42" s="2"/>
      <c r="H42" s="2"/>
      <c r="I42" s="2"/>
      <c r="J42" s="2"/>
    </row>
    <row r="43" spans="1:10" ht="15.75" customHeight="1">
      <c r="A43" s="2" t="str">
        <f t="shared" si="0"/>
        <v/>
      </c>
      <c r="B43" s="2"/>
      <c r="C43" s="2"/>
      <c r="D43" s="2"/>
      <c r="E43" s="2"/>
      <c r="F43" s="2"/>
      <c r="G43" s="2"/>
      <c r="H43" s="2"/>
      <c r="I43" s="2"/>
      <c r="J43" s="2"/>
    </row>
    <row r="44" spans="1:10" ht="15.75" customHeight="1">
      <c r="A44" s="2" t="str">
        <f t="shared" si="0"/>
        <v/>
      </c>
      <c r="B44" s="2"/>
      <c r="C44" s="2"/>
      <c r="D44" s="2"/>
      <c r="E44" s="2"/>
      <c r="F44" s="2"/>
      <c r="G44" s="2"/>
      <c r="H44" s="2"/>
      <c r="I44" s="2"/>
      <c r="J44" s="2"/>
    </row>
    <row r="45" spans="1:10" ht="15.75" customHeight="1">
      <c r="A45" s="2" t="str">
        <f t="shared" si="0"/>
        <v/>
      </c>
      <c r="B45" s="2"/>
      <c r="C45" s="2"/>
      <c r="D45" s="2"/>
      <c r="E45" s="2"/>
      <c r="F45" s="2"/>
      <c r="G45" s="2"/>
      <c r="H45" s="2"/>
      <c r="I45" s="2"/>
      <c r="J45" s="2"/>
    </row>
    <row r="46" spans="1:10" ht="15.75" customHeight="1">
      <c r="A46" s="2" t="str">
        <f t="shared" si="0"/>
        <v/>
      </c>
      <c r="B46" s="2"/>
      <c r="C46" s="2"/>
      <c r="D46" s="2"/>
      <c r="E46" s="2"/>
      <c r="F46" s="2"/>
      <c r="G46" s="2"/>
      <c r="H46" s="2"/>
      <c r="I46" s="2"/>
      <c r="J46" s="2"/>
    </row>
    <row r="47" spans="1:10" ht="15.75" customHeight="1">
      <c r="A47" s="2" t="str">
        <f t="shared" si="0"/>
        <v/>
      </c>
      <c r="B47" s="2"/>
      <c r="C47" s="2"/>
      <c r="D47" s="2"/>
      <c r="E47" s="2"/>
      <c r="F47" s="2"/>
      <c r="G47" s="2"/>
      <c r="H47" s="2"/>
      <c r="I47" s="2"/>
      <c r="J47" s="2"/>
    </row>
    <row r="48" spans="1:10" ht="15.75" customHeight="1">
      <c r="A48" s="2" t="str">
        <f t="shared" si="0"/>
        <v/>
      </c>
      <c r="B48" s="2"/>
      <c r="C48" s="2"/>
      <c r="D48" s="2"/>
      <c r="E48" s="2"/>
      <c r="F48" s="2"/>
      <c r="G48" s="2"/>
      <c r="H48" s="2"/>
      <c r="I48" s="2"/>
      <c r="J48" s="2"/>
    </row>
    <row r="49" spans="1:10" ht="15.75" customHeight="1">
      <c r="A49" s="2" t="str">
        <f t="shared" si="0"/>
        <v/>
      </c>
      <c r="B49" s="2"/>
      <c r="C49" s="2"/>
      <c r="D49" s="2"/>
      <c r="E49" s="2"/>
      <c r="F49" s="2"/>
      <c r="G49" s="2"/>
      <c r="H49" s="2"/>
      <c r="I49" s="2"/>
      <c r="J49" s="2"/>
    </row>
    <row r="50" spans="1:10" ht="15.75" customHeight="1">
      <c r="A50" s="2" t="str">
        <f t="shared" si="0"/>
        <v/>
      </c>
      <c r="B50" s="2"/>
      <c r="C50" s="2"/>
      <c r="D50" s="2"/>
      <c r="E50" s="2"/>
      <c r="F50" s="2"/>
      <c r="G50" s="2"/>
      <c r="H50" s="2"/>
      <c r="I50" s="2"/>
      <c r="J50" s="2"/>
    </row>
    <row r="51" spans="1:10" ht="15.75" customHeight="1">
      <c r="A51" s="2" t="str">
        <f t="shared" si="0"/>
        <v/>
      </c>
      <c r="B51" s="2"/>
      <c r="C51" s="2"/>
      <c r="D51" s="2"/>
      <c r="E51" s="2"/>
      <c r="F51" s="2"/>
      <c r="G51" s="2"/>
      <c r="H51" s="2"/>
      <c r="I51" s="2"/>
      <c r="J51" s="2"/>
    </row>
    <row r="52" spans="1:10" ht="15.75" customHeight="1">
      <c r="A52" s="2" t="str">
        <f t="shared" si="0"/>
        <v/>
      </c>
      <c r="B52" s="2"/>
      <c r="C52" s="2"/>
      <c r="D52" s="2"/>
      <c r="E52" s="2"/>
      <c r="F52" s="2"/>
      <c r="G52" s="2"/>
      <c r="H52" s="2"/>
      <c r="I52" s="2"/>
      <c r="J52" s="2"/>
    </row>
    <row r="53" spans="1:10" ht="15.75" customHeight="1">
      <c r="A53" s="2" t="str">
        <f t="shared" si="0"/>
        <v/>
      </c>
      <c r="B53" s="2"/>
      <c r="C53" s="2"/>
      <c r="D53" s="2"/>
      <c r="E53" s="2"/>
      <c r="F53" s="2"/>
      <c r="G53" s="2"/>
      <c r="H53" s="2"/>
      <c r="I53" s="2"/>
      <c r="J53" s="2"/>
    </row>
    <row r="54" spans="1:10" ht="15.75" customHeight="1">
      <c r="A54" s="2" t="str">
        <f t="shared" si="0"/>
        <v/>
      </c>
      <c r="B54" s="2"/>
      <c r="C54" s="2"/>
      <c r="D54" s="2"/>
      <c r="E54" s="2"/>
      <c r="F54" s="2"/>
      <c r="G54" s="2"/>
      <c r="H54" s="2"/>
      <c r="I54" s="2"/>
      <c r="J54" s="2"/>
    </row>
    <row r="55" spans="1:10" ht="15.75" customHeight="1">
      <c r="A55" s="2" t="str">
        <f t="shared" si="0"/>
        <v/>
      </c>
      <c r="B55" s="2"/>
      <c r="C55" s="2"/>
      <c r="D55" s="2"/>
      <c r="E55" s="2"/>
      <c r="F55" s="2"/>
      <c r="G55" s="2"/>
      <c r="H55" s="2"/>
      <c r="I55" s="2"/>
      <c r="J55" s="2"/>
    </row>
    <row r="56" spans="1:10" ht="15.75" customHeight="1">
      <c r="A56" s="2" t="str">
        <f t="shared" si="0"/>
        <v/>
      </c>
      <c r="B56" s="2"/>
      <c r="C56" s="2"/>
      <c r="D56" s="2"/>
      <c r="E56" s="2"/>
      <c r="F56" s="2"/>
      <c r="G56" s="2"/>
      <c r="H56" s="2"/>
      <c r="I56" s="2"/>
      <c r="J56" s="2"/>
    </row>
    <row r="57" spans="1:10" ht="15.75" customHeight="1">
      <c r="A57" s="2" t="str">
        <f t="shared" si="0"/>
        <v/>
      </c>
      <c r="B57" s="2"/>
      <c r="C57" s="2"/>
      <c r="D57" s="2"/>
      <c r="E57" s="2"/>
      <c r="F57" s="2"/>
      <c r="G57" s="2"/>
      <c r="H57" s="2"/>
      <c r="I57" s="2"/>
      <c r="J57" s="2"/>
    </row>
    <row r="58" spans="1:10" ht="15.75" customHeight="1">
      <c r="A58" s="2" t="str">
        <f t="shared" si="0"/>
        <v/>
      </c>
      <c r="B58" s="2"/>
      <c r="C58" s="2"/>
      <c r="D58" s="2"/>
      <c r="E58" s="2"/>
      <c r="F58" s="2"/>
      <c r="G58" s="2"/>
      <c r="H58" s="2"/>
      <c r="I58" s="2"/>
      <c r="J58" s="2"/>
    </row>
    <row r="59" spans="1:10" ht="15.75" customHeight="1">
      <c r="A59" s="2" t="str">
        <f t="shared" si="0"/>
        <v/>
      </c>
      <c r="B59" s="2"/>
      <c r="C59" s="2"/>
      <c r="D59" s="2"/>
      <c r="E59" s="2"/>
      <c r="F59" s="2"/>
      <c r="G59" s="2"/>
      <c r="H59" s="2"/>
      <c r="I59" s="2"/>
      <c r="J59" s="2"/>
    </row>
    <row r="60" spans="1:10" ht="15.75" customHeight="1">
      <c r="A60" s="2" t="str">
        <f t="shared" si="0"/>
        <v/>
      </c>
      <c r="B60" s="2"/>
      <c r="C60" s="2"/>
      <c r="D60" s="2"/>
      <c r="E60" s="2"/>
      <c r="F60" s="2"/>
      <c r="G60" s="2"/>
      <c r="H60" s="2"/>
      <c r="I60" s="2"/>
      <c r="J60" s="2"/>
    </row>
    <row r="61" spans="1:10" ht="15.75" customHeight="1">
      <c r="A61" s="2" t="str">
        <f t="shared" si="0"/>
        <v/>
      </c>
      <c r="B61" s="2"/>
      <c r="C61" s="2"/>
      <c r="D61" s="2"/>
      <c r="E61" s="2"/>
      <c r="F61" s="2"/>
      <c r="G61" s="2"/>
      <c r="H61" s="2"/>
      <c r="I61" s="2"/>
      <c r="J61" s="2"/>
    </row>
    <row r="62" spans="1:10" ht="15.75" customHeight="1">
      <c r="A62" s="2" t="str">
        <f t="shared" si="0"/>
        <v/>
      </c>
      <c r="B62" s="2"/>
      <c r="C62" s="2"/>
      <c r="D62" s="2"/>
      <c r="E62" s="2"/>
      <c r="F62" s="2"/>
      <c r="G62" s="2"/>
      <c r="H62" s="2"/>
      <c r="I62" s="2"/>
      <c r="J62" s="2"/>
    </row>
    <row r="63" spans="1:10" ht="15.75" customHeight="1">
      <c r="A63" s="2" t="str">
        <f t="shared" si="0"/>
        <v/>
      </c>
      <c r="B63" s="2"/>
      <c r="C63" s="2"/>
      <c r="D63" s="2"/>
      <c r="E63" s="2"/>
      <c r="F63" s="2"/>
      <c r="G63" s="2"/>
      <c r="H63" s="2"/>
      <c r="I63" s="2"/>
      <c r="J63" s="2"/>
    </row>
    <row r="64" spans="1:10" ht="15.75" customHeight="1">
      <c r="A64" s="2" t="str">
        <f t="shared" si="0"/>
        <v/>
      </c>
      <c r="B64" s="2"/>
      <c r="C64" s="2"/>
      <c r="D64" s="2"/>
      <c r="E64" s="2"/>
      <c r="F64" s="2"/>
      <c r="G64" s="2"/>
      <c r="H64" s="2"/>
      <c r="I64" s="2"/>
      <c r="J64" s="2"/>
    </row>
    <row r="65" spans="1:10" ht="15.75" customHeight="1">
      <c r="A65" s="2" t="str">
        <f t="shared" si="0"/>
        <v/>
      </c>
      <c r="B65" s="2"/>
      <c r="C65" s="2"/>
      <c r="D65" s="2"/>
      <c r="E65" s="2"/>
      <c r="F65" s="2"/>
      <c r="G65" s="2"/>
      <c r="H65" s="2"/>
      <c r="I65" s="2"/>
      <c r="J65" s="2"/>
    </row>
    <row r="66" spans="1:10" ht="15.75" customHeight="1">
      <c r="A66" s="2" t="str">
        <f t="shared" si="0"/>
        <v/>
      </c>
      <c r="B66" s="2"/>
      <c r="C66" s="2"/>
      <c r="D66" s="2"/>
      <c r="E66" s="2"/>
      <c r="F66" s="2"/>
      <c r="G66" s="2"/>
      <c r="H66" s="2"/>
      <c r="I66" s="2"/>
      <c r="J66" s="2"/>
    </row>
    <row r="67" spans="1:10" ht="15.75" customHeight="1">
      <c r="A67" s="2" t="str">
        <f t="shared" si="0"/>
        <v/>
      </c>
      <c r="B67" s="2"/>
      <c r="C67" s="2"/>
      <c r="D67" s="2"/>
      <c r="E67" s="2"/>
      <c r="F67" s="2"/>
      <c r="G67" s="2"/>
      <c r="H67" s="2"/>
      <c r="I67" s="2"/>
      <c r="J67" s="2"/>
    </row>
    <row r="68" spans="1:10" ht="15.75" customHeight="1">
      <c r="A68" s="2" t="str">
        <f t="shared" si="0"/>
        <v/>
      </c>
      <c r="B68" s="2"/>
      <c r="C68" s="2"/>
      <c r="D68" s="2"/>
      <c r="E68" s="2"/>
      <c r="F68" s="2"/>
      <c r="G68" s="2"/>
      <c r="H68" s="2"/>
      <c r="I68" s="2"/>
      <c r="J68" s="2"/>
    </row>
    <row r="69" spans="1:10" ht="15.75" customHeight="1">
      <c r="A69" s="2" t="str">
        <f t="shared" ref="A69:A132" si="1">IF(B69="","","DEF-"&amp;TEXT(ROW()-4,"0000"))</f>
        <v/>
      </c>
      <c r="B69" s="2"/>
      <c r="C69" s="2"/>
      <c r="D69" s="2"/>
      <c r="E69" s="2"/>
      <c r="F69" s="2"/>
      <c r="G69" s="2"/>
      <c r="H69" s="2"/>
      <c r="I69" s="2"/>
      <c r="J69" s="2"/>
    </row>
    <row r="70" spans="1:10" ht="15.75" customHeight="1">
      <c r="A70" s="2" t="str">
        <f t="shared" si="1"/>
        <v/>
      </c>
      <c r="B70" s="2"/>
      <c r="C70" s="2"/>
      <c r="D70" s="2"/>
      <c r="E70" s="2"/>
      <c r="F70" s="2"/>
      <c r="G70" s="2"/>
      <c r="H70" s="2"/>
      <c r="I70" s="2"/>
      <c r="J70" s="2"/>
    </row>
    <row r="71" spans="1:10" ht="15.75" customHeight="1">
      <c r="A71" s="2" t="str">
        <f t="shared" si="1"/>
        <v/>
      </c>
      <c r="B71" s="2"/>
      <c r="C71" s="2"/>
      <c r="D71" s="2"/>
      <c r="E71" s="2"/>
      <c r="F71" s="2"/>
      <c r="G71" s="2"/>
      <c r="H71" s="2"/>
      <c r="I71" s="2"/>
      <c r="J71" s="2"/>
    </row>
    <row r="72" spans="1:10" ht="15.75" customHeight="1">
      <c r="A72" s="2" t="str">
        <f t="shared" si="1"/>
        <v/>
      </c>
      <c r="B72" s="2"/>
      <c r="C72" s="2"/>
      <c r="D72" s="2"/>
      <c r="E72" s="2"/>
      <c r="F72" s="2"/>
      <c r="G72" s="2"/>
      <c r="H72" s="2"/>
      <c r="I72" s="2"/>
      <c r="J72" s="2"/>
    </row>
    <row r="73" spans="1:10" ht="15.75" customHeight="1">
      <c r="A73" s="2" t="str">
        <f t="shared" si="1"/>
        <v/>
      </c>
      <c r="B73" s="2"/>
      <c r="C73" s="2"/>
      <c r="D73" s="2"/>
      <c r="E73" s="2"/>
      <c r="F73" s="2"/>
      <c r="G73" s="2"/>
      <c r="H73" s="2"/>
      <c r="I73" s="2"/>
      <c r="J73" s="2"/>
    </row>
    <row r="74" spans="1:10" ht="15.75" customHeight="1">
      <c r="A74" s="2" t="str">
        <f t="shared" si="1"/>
        <v/>
      </c>
      <c r="B74" s="2"/>
      <c r="C74" s="2"/>
      <c r="D74" s="2"/>
      <c r="E74" s="2"/>
      <c r="F74" s="2"/>
      <c r="G74" s="2"/>
      <c r="H74" s="2"/>
      <c r="I74" s="2"/>
      <c r="J74" s="2"/>
    </row>
    <row r="75" spans="1:10" ht="15.75" customHeight="1">
      <c r="A75" s="2" t="str">
        <f t="shared" si="1"/>
        <v/>
      </c>
      <c r="B75" s="2"/>
      <c r="C75" s="2"/>
      <c r="D75" s="2"/>
      <c r="E75" s="2"/>
      <c r="F75" s="2"/>
      <c r="G75" s="2"/>
      <c r="H75" s="2"/>
      <c r="I75" s="2"/>
      <c r="J75" s="2"/>
    </row>
    <row r="76" spans="1:10" ht="15.75" customHeight="1">
      <c r="A76" s="2" t="str">
        <f t="shared" si="1"/>
        <v/>
      </c>
      <c r="B76" s="2"/>
      <c r="C76" s="2"/>
      <c r="D76" s="2"/>
      <c r="E76" s="2"/>
      <c r="F76" s="2"/>
      <c r="G76" s="2"/>
      <c r="H76" s="2"/>
      <c r="I76" s="2"/>
      <c r="J76" s="2"/>
    </row>
    <row r="77" spans="1:10" ht="15.75" customHeight="1">
      <c r="A77" s="2" t="str">
        <f t="shared" si="1"/>
        <v/>
      </c>
      <c r="B77" s="2"/>
      <c r="C77" s="2"/>
      <c r="D77" s="2"/>
      <c r="E77" s="2"/>
      <c r="F77" s="2"/>
      <c r="G77" s="2"/>
      <c r="H77" s="2"/>
      <c r="I77" s="2"/>
      <c r="J77" s="2"/>
    </row>
    <row r="78" spans="1:10" ht="15.75" customHeight="1">
      <c r="A78" s="2" t="str">
        <f t="shared" si="1"/>
        <v/>
      </c>
      <c r="B78" s="2"/>
      <c r="C78" s="2"/>
      <c r="D78" s="2"/>
      <c r="E78" s="2"/>
      <c r="F78" s="2"/>
      <c r="G78" s="2"/>
      <c r="H78" s="2"/>
      <c r="I78" s="2"/>
      <c r="J78" s="2"/>
    </row>
    <row r="79" spans="1:10" ht="15.75" customHeight="1">
      <c r="A79" s="2" t="str">
        <f t="shared" si="1"/>
        <v/>
      </c>
      <c r="B79" s="2"/>
      <c r="C79" s="2"/>
      <c r="D79" s="2"/>
      <c r="E79" s="2"/>
      <c r="F79" s="2"/>
      <c r="G79" s="2"/>
      <c r="H79" s="2"/>
      <c r="I79" s="2"/>
      <c r="J79" s="2"/>
    </row>
    <row r="80" spans="1:10" ht="15.75" customHeight="1">
      <c r="A80" s="2" t="str">
        <f t="shared" si="1"/>
        <v/>
      </c>
      <c r="B80" s="2"/>
      <c r="C80" s="2"/>
      <c r="D80" s="2"/>
      <c r="E80" s="2"/>
      <c r="F80" s="2"/>
      <c r="G80" s="2"/>
      <c r="H80" s="2"/>
      <c r="I80" s="2"/>
      <c r="J80" s="2"/>
    </row>
    <row r="81" spans="1:10" ht="15.75" customHeight="1">
      <c r="A81" s="2" t="str">
        <f t="shared" si="1"/>
        <v/>
      </c>
      <c r="B81" s="2"/>
      <c r="C81" s="2"/>
      <c r="D81" s="2"/>
      <c r="E81" s="2"/>
      <c r="F81" s="2"/>
      <c r="G81" s="2"/>
      <c r="H81" s="2"/>
      <c r="I81" s="2"/>
      <c r="J81" s="2"/>
    </row>
    <row r="82" spans="1:10" ht="15.75" customHeight="1">
      <c r="A82" s="2" t="str">
        <f t="shared" si="1"/>
        <v/>
      </c>
      <c r="B82" s="2"/>
      <c r="C82" s="2"/>
      <c r="D82" s="2"/>
      <c r="E82" s="2"/>
      <c r="F82" s="2"/>
      <c r="G82" s="2"/>
      <c r="H82" s="2"/>
      <c r="I82" s="2"/>
      <c r="J82" s="2"/>
    </row>
    <row r="83" spans="1:10" ht="15.75" customHeight="1">
      <c r="A83" s="2" t="str">
        <f t="shared" si="1"/>
        <v/>
      </c>
      <c r="B83" s="2"/>
      <c r="C83" s="2"/>
      <c r="D83" s="2"/>
      <c r="E83" s="2"/>
      <c r="F83" s="2"/>
      <c r="G83" s="2"/>
      <c r="H83" s="2"/>
      <c r="I83" s="2"/>
      <c r="J83" s="2"/>
    </row>
    <row r="84" spans="1:10" ht="15.75" customHeight="1">
      <c r="A84" s="2" t="str">
        <f t="shared" si="1"/>
        <v/>
      </c>
      <c r="B84" s="2"/>
      <c r="C84" s="2"/>
      <c r="D84" s="2"/>
      <c r="E84" s="2"/>
      <c r="F84" s="2"/>
      <c r="G84" s="2"/>
      <c r="H84" s="2"/>
      <c r="I84" s="2"/>
      <c r="J84" s="2"/>
    </row>
    <row r="85" spans="1:10" ht="15.75" customHeight="1">
      <c r="A85" s="2" t="str">
        <f t="shared" si="1"/>
        <v/>
      </c>
      <c r="B85" s="2"/>
      <c r="C85" s="2"/>
      <c r="D85" s="2"/>
      <c r="E85" s="2"/>
      <c r="F85" s="2"/>
      <c r="G85" s="2"/>
      <c r="H85" s="2"/>
      <c r="I85" s="2"/>
      <c r="J85" s="2"/>
    </row>
    <row r="86" spans="1:10" ht="15.75" customHeight="1">
      <c r="A86" s="2" t="str">
        <f t="shared" si="1"/>
        <v/>
      </c>
      <c r="B86" s="2"/>
      <c r="C86" s="2"/>
      <c r="D86" s="2"/>
      <c r="E86" s="2"/>
      <c r="F86" s="2"/>
      <c r="G86" s="2"/>
      <c r="H86" s="2"/>
      <c r="I86" s="2"/>
      <c r="J86" s="2"/>
    </row>
    <row r="87" spans="1:10" ht="15.75" customHeight="1">
      <c r="A87" s="2" t="str">
        <f t="shared" si="1"/>
        <v/>
      </c>
      <c r="B87" s="2"/>
      <c r="C87" s="2"/>
      <c r="D87" s="2"/>
      <c r="E87" s="2"/>
      <c r="F87" s="2"/>
      <c r="G87" s="2"/>
      <c r="H87" s="2"/>
      <c r="I87" s="2"/>
      <c r="J87" s="2"/>
    </row>
    <row r="88" spans="1:10" ht="15.75" customHeight="1">
      <c r="A88" s="2" t="str">
        <f t="shared" si="1"/>
        <v/>
      </c>
      <c r="B88" s="2"/>
      <c r="C88" s="2"/>
      <c r="D88" s="2"/>
      <c r="E88" s="2"/>
      <c r="F88" s="2"/>
      <c r="G88" s="2"/>
      <c r="H88" s="2"/>
      <c r="I88" s="2"/>
      <c r="J88" s="2"/>
    </row>
    <row r="89" spans="1:10" ht="15.75" customHeight="1">
      <c r="A89" s="2" t="str">
        <f t="shared" si="1"/>
        <v/>
      </c>
      <c r="B89" s="2"/>
      <c r="C89" s="2"/>
      <c r="D89" s="2"/>
      <c r="E89" s="2"/>
      <c r="F89" s="2"/>
      <c r="G89" s="2"/>
      <c r="H89" s="2"/>
      <c r="I89" s="2"/>
      <c r="J89" s="2"/>
    </row>
    <row r="90" spans="1:10" ht="15.75" customHeight="1">
      <c r="A90" s="2" t="str">
        <f t="shared" si="1"/>
        <v/>
      </c>
      <c r="B90" s="2"/>
      <c r="C90" s="2"/>
      <c r="D90" s="2"/>
      <c r="E90" s="2"/>
      <c r="F90" s="2"/>
      <c r="G90" s="2"/>
      <c r="H90" s="2"/>
      <c r="I90" s="2"/>
      <c r="J90" s="2"/>
    </row>
    <row r="91" spans="1:10" ht="15.75" customHeight="1">
      <c r="A91" s="2" t="str">
        <f t="shared" si="1"/>
        <v/>
      </c>
      <c r="B91" s="2"/>
      <c r="C91" s="2"/>
      <c r="D91" s="2"/>
      <c r="E91" s="2"/>
      <c r="F91" s="2"/>
      <c r="G91" s="2"/>
      <c r="H91" s="2"/>
      <c r="I91" s="2"/>
      <c r="J91" s="2"/>
    </row>
    <row r="92" spans="1:10" ht="15.75" customHeight="1">
      <c r="A92" s="2" t="str">
        <f t="shared" si="1"/>
        <v/>
      </c>
      <c r="B92" s="2"/>
      <c r="C92" s="2"/>
      <c r="D92" s="2"/>
      <c r="E92" s="2"/>
      <c r="F92" s="2"/>
      <c r="G92" s="2"/>
      <c r="H92" s="2"/>
      <c r="I92" s="2"/>
      <c r="J92" s="2"/>
    </row>
    <row r="93" spans="1:10" ht="15.75" customHeight="1">
      <c r="A93" s="2" t="str">
        <f t="shared" si="1"/>
        <v/>
      </c>
      <c r="B93" s="2"/>
      <c r="C93" s="2"/>
      <c r="D93" s="2"/>
      <c r="E93" s="2"/>
      <c r="F93" s="2"/>
      <c r="G93" s="2"/>
      <c r="H93" s="2"/>
      <c r="I93" s="2"/>
      <c r="J93" s="2"/>
    </row>
    <row r="94" spans="1:10" ht="15.75" customHeight="1">
      <c r="A94" s="2" t="str">
        <f t="shared" si="1"/>
        <v/>
      </c>
      <c r="B94" s="2"/>
      <c r="C94" s="2"/>
      <c r="D94" s="2"/>
      <c r="E94" s="2"/>
      <c r="F94" s="2"/>
      <c r="G94" s="2"/>
      <c r="H94" s="2"/>
      <c r="I94" s="2"/>
      <c r="J94" s="2"/>
    </row>
    <row r="95" spans="1:10" ht="15.75" customHeight="1">
      <c r="A95" s="2" t="str">
        <f t="shared" si="1"/>
        <v/>
      </c>
      <c r="B95" s="2"/>
      <c r="C95" s="2"/>
      <c r="D95" s="2"/>
      <c r="E95" s="2"/>
      <c r="F95" s="2"/>
      <c r="G95" s="2"/>
      <c r="H95" s="2"/>
      <c r="I95" s="2"/>
      <c r="J95" s="2"/>
    </row>
    <row r="96" spans="1:10" ht="15.75" customHeight="1">
      <c r="A96" s="2" t="str">
        <f t="shared" si="1"/>
        <v/>
      </c>
      <c r="B96" s="2"/>
      <c r="C96" s="2"/>
      <c r="D96" s="2"/>
      <c r="E96" s="2"/>
      <c r="F96" s="2"/>
      <c r="G96" s="2"/>
      <c r="H96" s="2"/>
      <c r="I96" s="2"/>
      <c r="J96" s="2"/>
    </row>
    <row r="97" spans="1:10" ht="15.75" customHeight="1">
      <c r="A97" s="2" t="str">
        <f t="shared" si="1"/>
        <v/>
      </c>
      <c r="B97" s="2"/>
      <c r="C97" s="2"/>
      <c r="D97" s="2"/>
      <c r="E97" s="2"/>
      <c r="F97" s="2"/>
      <c r="G97" s="2"/>
      <c r="H97" s="2"/>
      <c r="I97" s="2"/>
      <c r="J97" s="2"/>
    </row>
    <row r="98" spans="1:10" ht="15.75" customHeight="1">
      <c r="A98" s="2" t="str">
        <f t="shared" si="1"/>
        <v/>
      </c>
      <c r="B98" s="2"/>
      <c r="C98" s="2"/>
      <c r="D98" s="2"/>
      <c r="E98" s="2"/>
      <c r="F98" s="2"/>
      <c r="G98" s="2"/>
      <c r="H98" s="2"/>
      <c r="I98" s="2"/>
      <c r="J98" s="2"/>
    </row>
    <row r="99" spans="1:10" ht="15.75" customHeight="1">
      <c r="A99" s="2" t="str">
        <f t="shared" si="1"/>
        <v/>
      </c>
      <c r="B99" s="2"/>
      <c r="C99" s="2"/>
      <c r="D99" s="2"/>
      <c r="E99" s="2"/>
      <c r="F99" s="2"/>
      <c r="G99" s="2"/>
      <c r="H99" s="2"/>
      <c r="I99" s="2"/>
      <c r="J99" s="2"/>
    </row>
    <row r="100" spans="1:10" ht="15.75" customHeight="1">
      <c r="A100" s="2" t="str">
        <f t="shared" si="1"/>
        <v/>
      </c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.75" customHeight="1">
      <c r="A101" s="2" t="str">
        <f t="shared" si="1"/>
        <v/>
      </c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.75" customHeight="1">
      <c r="A102" s="2" t="str">
        <f t="shared" si="1"/>
        <v/>
      </c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.75" customHeight="1">
      <c r="A103" s="2" t="str">
        <f t="shared" si="1"/>
        <v/>
      </c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.75" customHeight="1">
      <c r="A104" s="2" t="str">
        <f t="shared" si="1"/>
        <v/>
      </c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.75" customHeight="1">
      <c r="A105" s="2" t="str">
        <f t="shared" si="1"/>
        <v/>
      </c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.75" customHeight="1">
      <c r="A106" s="2" t="str">
        <f t="shared" si="1"/>
        <v/>
      </c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.75" customHeight="1">
      <c r="A107" s="2" t="str">
        <f t="shared" si="1"/>
        <v/>
      </c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.75" customHeight="1">
      <c r="A108" s="2" t="str">
        <f t="shared" si="1"/>
        <v/>
      </c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.75" customHeight="1">
      <c r="A109" s="2" t="str">
        <f t="shared" si="1"/>
        <v/>
      </c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.75" customHeight="1">
      <c r="A110" s="2" t="str">
        <f t="shared" si="1"/>
        <v/>
      </c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.75" customHeight="1">
      <c r="A111" s="2" t="str">
        <f t="shared" si="1"/>
        <v/>
      </c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.75" customHeight="1">
      <c r="A112" s="2" t="str">
        <f t="shared" si="1"/>
        <v/>
      </c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.75" customHeight="1">
      <c r="A113" s="2" t="str">
        <f t="shared" si="1"/>
        <v/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.75" customHeight="1">
      <c r="A114" s="2" t="str">
        <f t="shared" si="1"/>
        <v/>
      </c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.75" customHeight="1">
      <c r="A115" s="2" t="str">
        <f t="shared" si="1"/>
        <v/>
      </c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.75" customHeight="1">
      <c r="A116" s="2" t="str">
        <f t="shared" si="1"/>
        <v/>
      </c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.75" customHeight="1">
      <c r="A117" s="2" t="str">
        <f t="shared" si="1"/>
        <v/>
      </c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.75" customHeight="1">
      <c r="A118" s="2" t="str">
        <f t="shared" si="1"/>
        <v/>
      </c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.75" customHeight="1">
      <c r="A119" s="2" t="str">
        <f t="shared" si="1"/>
        <v/>
      </c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.75" customHeight="1">
      <c r="A120" s="2" t="str">
        <f t="shared" si="1"/>
        <v/>
      </c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.75" customHeight="1">
      <c r="A121" s="2" t="str">
        <f t="shared" si="1"/>
        <v/>
      </c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.75" customHeight="1">
      <c r="A122" s="2" t="str">
        <f t="shared" si="1"/>
        <v/>
      </c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.75" customHeight="1">
      <c r="A123" s="2" t="str">
        <f t="shared" si="1"/>
        <v/>
      </c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.75" customHeight="1">
      <c r="A124" s="2" t="str">
        <f t="shared" si="1"/>
        <v/>
      </c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.75" customHeight="1">
      <c r="A125" s="2" t="str">
        <f t="shared" si="1"/>
        <v/>
      </c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.75" customHeight="1">
      <c r="A126" s="2" t="str">
        <f t="shared" si="1"/>
        <v/>
      </c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.75" customHeight="1">
      <c r="A127" s="2" t="str">
        <f t="shared" si="1"/>
        <v/>
      </c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.75" customHeight="1">
      <c r="A128" s="2" t="str">
        <f t="shared" si="1"/>
        <v/>
      </c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.75" customHeight="1">
      <c r="A129" s="2" t="str">
        <f t="shared" si="1"/>
        <v/>
      </c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.75" customHeight="1">
      <c r="A130" s="2" t="str">
        <f t="shared" si="1"/>
        <v/>
      </c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.75" customHeight="1">
      <c r="A131" s="2" t="str">
        <f t="shared" si="1"/>
        <v/>
      </c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.75" customHeight="1">
      <c r="A132" s="2" t="str">
        <f t="shared" si="1"/>
        <v/>
      </c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.75" customHeight="1">
      <c r="A133" s="2" t="str">
        <f t="shared" ref="A133:A196" si="2">IF(B133="","","DEF-"&amp;TEXT(ROW()-4,"0000"))</f>
        <v/>
      </c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.75" customHeight="1">
      <c r="A134" s="2" t="str">
        <f t="shared" si="2"/>
        <v/>
      </c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.75" customHeight="1">
      <c r="A135" s="2" t="str">
        <f t="shared" si="2"/>
        <v/>
      </c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.75" customHeight="1">
      <c r="A136" s="2" t="str">
        <f t="shared" si="2"/>
        <v/>
      </c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.75" customHeight="1">
      <c r="A137" s="2" t="str">
        <f t="shared" si="2"/>
        <v/>
      </c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.75" customHeight="1">
      <c r="A138" s="2" t="str">
        <f t="shared" si="2"/>
        <v/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.75" customHeight="1">
      <c r="A139" s="2" t="str">
        <f t="shared" si="2"/>
        <v/>
      </c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.75" customHeight="1">
      <c r="A140" s="2" t="str">
        <f t="shared" si="2"/>
        <v/>
      </c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.75" customHeight="1">
      <c r="A141" s="2" t="str">
        <f t="shared" si="2"/>
        <v/>
      </c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.75" customHeight="1">
      <c r="A142" s="2" t="str">
        <f t="shared" si="2"/>
        <v/>
      </c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.75" customHeight="1">
      <c r="A143" s="2" t="str">
        <f t="shared" si="2"/>
        <v/>
      </c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.75" customHeight="1">
      <c r="A144" s="2" t="str">
        <f t="shared" si="2"/>
        <v/>
      </c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.75" customHeight="1">
      <c r="A145" s="2" t="str">
        <f t="shared" si="2"/>
        <v/>
      </c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.75" customHeight="1">
      <c r="A146" s="2" t="str">
        <f t="shared" si="2"/>
        <v/>
      </c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.75" customHeight="1">
      <c r="A147" s="2" t="str">
        <f t="shared" si="2"/>
        <v/>
      </c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.75" customHeight="1">
      <c r="A148" s="2" t="str">
        <f t="shared" si="2"/>
        <v/>
      </c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.75" customHeight="1">
      <c r="A149" s="2" t="str">
        <f t="shared" si="2"/>
        <v/>
      </c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.75" customHeight="1">
      <c r="A150" s="2" t="str">
        <f t="shared" si="2"/>
        <v/>
      </c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.75" customHeight="1">
      <c r="A151" s="2" t="str">
        <f t="shared" si="2"/>
        <v/>
      </c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.75" customHeight="1">
      <c r="A152" s="2" t="str">
        <f t="shared" si="2"/>
        <v/>
      </c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.75" customHeight="1">
      <c r="A153" s="2" t="str">
        <f t="shared" si="2"/>
        <v/>
      </c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.75" customHeight="1">
      <c r="A154" s="2" t="str">
        <f t="shared" si="2"/>
        <v/>
      </c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.75" customHeight="1">
      <c r="A155" s="2" t="str">
        <f t="shared" si="2"/>
        <v/>
      </c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.75" customHeight="1">
      <c r="A156" s="2" t="str">
        <f t="shared" si="2"/>
        <v/>
      </c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.75" customHeight="1">
      <c r="A157" s="2" t="str">
        <f t="shared" si="2"/>
        <v/>
      </c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.75" customHeight="1">
      <c r="A158" s="2" t="str">
        <f t="shared" si="2"/>
        <v/>
      </c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.75" customHeight="1">
      <c r="A159" s="2" t="str">
        <f t="shared" si="2"/>
        <v/>
      </c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.75" customHeight="1">
      <c r="A160" s="2" t="str">
        <f t="shared" si="2"/>
        <v/>
      </c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.75" customHeight="1">
      <c r="A161" s="2" t="str">
        <f t="shared" si="2"/>
        <v/>
      </c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.75" customHeight="1">
      <c r="A162" s="2" t="str">
        <f t="shared" si="2"/>
        <v/>
      </c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.75" customHeight="1">
      <c r="A163" s="2" t="str">
        <f t="shared" si="2"/>
        <v/>
      </c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.75" customHeight="1">
      <c r="A164" s="2" t="str">
        <f t="shared" si="2"/>
        <v/>
      </c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.75" customHeight="1">
      <c r="A165" s="2" t="str">
        <f t="shared" si="2"/>
        <v/>
      </c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.75" customHeight="1">
      <c r="A166" s="2" t="str">
        <f t="shared" si="2"/>
        <v/>
      </c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.75" customHeight="1">
      <c r="A167" s="2" t="str">
        <f t="shared" si="2"/>
        <v/>
      </c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.75" customHeight="1">
      <c r="A168" s="2" t="str">
        <f t="shared" si="2"/>
        <v/>
      </c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.75" customHeight="1">
      <c r="A169" s="2" t="str">
        <f t="shared" si="2"/>
        <v/>
      </c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.75" customHeight="1">
      <c r="A170" s="2" t="str">
        <f t="shared" si="2"/>
        <v/>
      </c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.75" customHeight="1">
      <c r="A171" s="2" t="str">
        <f t="shared" si="2"/>
        <v/>
      </c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.75" customHeight="1">
      <c r="A172" s="2" t="str">
        <f t="shared" si="2"/>
        <v/>
      </c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.75" customHeight="1">
      <c r="A173" s="2" t="str">
        <f t="shared" si="2"/>
        <v/>
      </c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.75" customHeight="1">
      <c r="A174" s="2" t="str">
        <f t="shared" si="2"/>
        <v/>
      </c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.75" customHeight="1">
      <c r="A175" s="2" t="str">
        <f t="shared" si="2"/>
        <v/>
      </c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.75" customHeight="1">
      <c r="A176" s="2" t="str">
        <f t="shared" si="2"/>
        <v/>
      </c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.75" customHeight="1">
      <c r="A177" s="2" t="str">
        <f t="shared" si="2"/>
        <v/>
      </c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.75" customHeight="1">
      <c r="A178" s="2" t="str">
        <f t="shared" si="2"/>
        <v/>
      </c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.75" customHeight="1">
      <c r="A179" s="2" t="str">
        <f t="shared" si="2"/>
        <v/>
      </c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.75" customHeight="1">
      <c r="A180" s="2" t="str">
        <f t="shared" si="2"/>
        <v/>
      </c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.75" customHeight="1">
      <c r="A181" s="2" t="str">
        <f t="shared" si="2"/>
        <v/>
      </c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.75" customHeight="1">
      <c r="A182" s="2" t="str">
        <f t="shared" si="2"/>
        <v/>
      </c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.75" customHeight="1">
      <c r="A183" s="2" t="str">
        <f t="shared" si="2"/>
        <v/>
      </c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.75" customHeight="1">
      <c r="A184" s="2" t="str">
        <f t="shared" si="2"/>
        <v/>
      </c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.75" customHeight="1">
      <c r="A185" s="2" t="str">
        <f t="shared" si="2"/>
        <v/>
      </c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.75" customHeight="1">
      <c r="A186" s="2" t="str">
        <f t="shared" si="2"/>
        <v/>
      </c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.75" customHeight="1">
      <c r="A187" s="2" t="str">
        <f t="shared" si="2"/>
        <v/>
      </c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.75" customHeight="1">
      <c r="A188" s="2" t="str">
        <f t="shared" si="2"/>
        <v/>
      </c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.75" customHeight="1">
      <c r="A189" s="2" t="str">
        <f t="shared" si="2"/>
        <v/>
      </c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.75" customHeight="1">
      <c r="A190" s="2" t="str">
        <f t="shared" si="2"/>
        <v/>
      </c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.75" customHeight="1">
      <c r="A191" s="2" t="str">
        <f t="shared" si="2"/>
        <v/>
      </c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.75" customHeight="1">
      <c r="A192" s="2" t="str">
        <f t="shared" si="2"/>
        <v/>
      </c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.75" customHeight="1">
      <c r="A193" s="2" t="str">
        <f t="shared" si="2"/>
        <v/>
      </c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.75" customHeight="1">
      <c r="A194" s="2" t="str">
        <f t="shared" si="2"/>
        <v/>
      </c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.75" customHeight="1">
      <c r="A195" s="2" t="str">
        <f t="shared" si="2"/>
        <v/>
      </c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.75" customHeight="1">
      <c r="A196" s="2" t="str">
        <f t="shared" si="2"/>
        <v/>
      </c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.75" customHeight="1">
      <c r="A197" s="2" t="str">
        <f t="shared" ref="A197:A260" si="3">IF(B197="","","DEF-"&amp;TEXT(ROW()-4,"0000"))</f>
        <v/>
      </c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.75" customHeight="1">
      <c r="A198" s="2" t="str">
        <f t="shared" si="3"/>
        <v/>
      </c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.75" customHeight="1">
      <c r="A199" s="2" t="str">
        <f t="shared" si="3"/>
        <v/>
      </c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.75" customHeight="1">
      <c r="A200" s="2" t="str">
        <f t="shared" si="3"/>
        <v/>
      </c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5.75" customHeight="1">
      <c r="A201" s="2" t="str">
        <f t="shared" si="3"/>
        <v/>
      </c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5.75" customHeight="1">
      <c r="A202" s="2" t="str">
        <f t="shared" si="3"/>
        <v/>
      </c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5.75" customHeight="1">
      <c r="A203" s="2" t="str">
        <f t="shared" si="3"/>
        <v/>
      </c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5.75" customHeight="1">
      <c r="A204" s="2" t="str">
        <f t="shared" si="3"/>
        <v/>
      </c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5.75" customHeight="1">
      <c r="A205" s="2" t="str">
        <f t="shared" si="3"/>
        <v/>
      </c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5.75" customHeight="1">
      <c r="A206" s="2" t="str">
        <f t="shared" si="3"/>
        <v/>
      </c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5.75" customHeight="1">
      <c r="A207" s="2" t="str">
        <f t="shared" si="3"/>
        <v/>
      </c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5.75" customHeight="1">
      <c r="A208" s="2" t="str">
        <f t="shared" si="3"/>
        <v/>
      </c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5.75" customHeight="1">
      <c r="A209" s="2" t="str">
        <f t="shared" si="3"/>
        <v/>
      </c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5.75" customHeight="1">
      <c r="A210" s="2" t="str">
        <f t="shared" si="3"/>
        <v/>
      </c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5.75" customHeight="1">
      <c r="A211" s="2" t="str">
        <f t="shared" si="3"/>
        <v/>
      </c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5.75" customHeight="1">
      <c r="A212" s="2" t="str">
        <f t="shared" si="3"/>
        <v/>
      </c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5.75" customHeight="1">
      <c r="A213" s="2" t="str">
        <f t="shared" si="3"/>
        <v/>
      </c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>
      <c r="A214" s="2" t="str">
        <f t="shared" si="3"/>
        <v/>
      </c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>
      <c r="A215" s="2" t="str">
        <f t="shared" si="3"/>
        <v/>
      </c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>
      <c r="A216" s="2" t="str">
        <f t="shared" si="3"/>
        <v/>
      </c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5.75" customHeight="1">
      <c r="A217" s="2" t="str">
        <f t="shared" si="3"/>
        <v/>
      </c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5.75" customHeight="1">
      <c r="A218" s="2" t="str">
        <f t="shared" si="3"/>
        <v/>
      </c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5.75" customHeight="1">
      <c r="A219" s="2" t="str">
        <f t="shared" si="3"/>
        <v/>
      </c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5.75" customHeight="1">
      <c r="A220" s="2" t="str">
        <f t="shared" si="3"/>
        <v/>
      </c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5.75" customHeight="1">
      <c r="A221" s="2" t="str">
        <f t="shared" si="3"/>
        <v/>
      </c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5.75" customHeight="1">
      <c r="A222" s="2" t="str">
        <f t="shared" si="3"/>
        <v/>
      </c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5.75" customHeight="1">
      <c r="A223" s="2" t="str">
        <f t="shared" si="3"/>
        <v/>
      </c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5.75" customHeight="1">
      <c r="A224" s="2" t="str">
        <f t="shared" si="3"/>
        <v/>
      </c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5.75" customHeight="1">
      <c r="A225" s="2" t="str">
        <f t="shared" si="3"/>
        <v/>
      </c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5.75" customHeight="1">
      <c r="A226" s="2" t="str">
        <f t="shared" si="3"/>
        <v/>
      </c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5.75" customHeight="1">
      <c r="A227" s="2" t="str">
        <f t="shared" si="3"/>
        <v/>
      </c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5.75" customHeight="1">
      <c r="A228" s="2" t="str">
        <f t="shared" si="3"/>
        <v/>
      </c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5.75" customHeight="1">
      <c r="A229" s="2" t="str">
        <f t="shared" si="3"/>
        <v/>
      </c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5.75" customHeight="1">
      <c r="A230" s="2" t="str">
        <f t="shared" si="3"/>
        <v/>
      </c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5.75" customHeight="1">
      <c r="A231" s="2" t="str">
        <f t="shared" si="3"/>
        <v/>
      </c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5.75" customHeight="1">
      <c r="A232" s="2" t="str">
        <f t="shared" si="3"/>
        <v/>
      </c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5.75" customHeight="1">
      <c r="A233" s="2" t="str">
        <f t="shared" si="3"/>
        <v/>
      </c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5.75" customHeight="1">
      <c r="A234" s="2" t="str">
        <f t="shared" si="3"/>
        <v/>
      </c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5.75" customHeight="1">
      <c r="A235" s="2" t="str">
        <f t="shared" si="3"/>
        <v/>
      </c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5.75" customHeight="1">
      <c r="A236" s="2" t="str">
        <f t="shared" si="3"/>
        <v/>
      </c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5.75" customHeight="1">
      <c r="A237" s="2" t="str">
        <f t="shared" si="3"/>
        <v/>
      </c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5.75" customHeight="1">
      <c r="A238" s="2" t="str">
        <f t="shared" si="3"/>
        <v/>
      </c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5.75" customHeight="1">
      <c r="A239" s="2" t="str">
        <f t="shared" si="3"/>
        <v/>
      </c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5.75" customHeight="1">
      <c r="A240" s="2" t="str">
        <f t="shared" si="3"/>
        <v/>
      </c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5.75" customHeight="1">
      <c r="A241" s="2" t="str">
        <f t="shared" si="3"/>
        <v/>
      </c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5.75" customHeight="1">
      <c r="A242" s="2" t="str">
        <f t="shared" si="3"/>
        <v/>
      </c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5.75" customHeight="1">
      <c r="A243" s="2" t="str">
        <f t="shared" si="3"/>
        <v/>
      </c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5.75" customHeight="1">
      <c r="A244" s="2" t="str">
        <f t="shared" si="3"/>
        <v/>
      </c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5.75" customHeight="1">
      <c r="A245" s="2" t="str">
        <f t="shared" si="3"/>
        <v/>
      </c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5.75" customHeight="1">
      <c r="A246" s="2" t="str">
        <f t="shared" si="3"/>
        <v/>
      </c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5.75" customHeight="1">
      <c r="A247" s="2" t="str">
        <f t="shared" si="3"/>
        <v/>
      </c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5.75" customHeight="1">
      <c r="A248" s="2" t="str">
        <f t="shared" si="3"/>
        <v/>
      </c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5.75" customHeight="1">
      <c r="A249" s="2" t="str">
        <f t="shared" si="3"/>
        <v/>
      </c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5.75" customHeight="1">
      <c r="A250" s="2" t="str">
        <f t="shared" si="3"/>
        <v/>
      </c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5.75" customHeight="1">
      <c r="A251" s="2" t="str">
        <f t="shared" si="3"/>
        <v/>
      </c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5.75" customHeight="1">
      <c r="A252" s="2" t="str">
        <f t="shared" si="3"/>
        <v/>
      </c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5.75" customHeight="1">
      <c r="A253" s="2" t="str">
        <f t="shared" si="3"/>
        <v/>
      </c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5.75" customHeight="1">
      <c r="A254" s="2" t="str">
        <f t="shared" si="3"/>
        <v/>
      </c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5.75" customHeight="1">
      <c r="A255" s="2" t="str">
        <f t="shared" si="3"/>
        <v/>
      </c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5.75" customHeight="1">
      <c r="A256" s="2" t="str">
        <f t="shared" si="3"/>
        <v/>
      </c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5.75" customHeight="1">
      <c r="A257" s="2" t="str">
        <f t="shared" si="3"/>
        <v/>
      </c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5.75" customHeight="1">
      <c r="A258" s="2" t="str">
        <f t="shared" si="3"/>
        <v/>
      </c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5.75" customHeight="1">
      <c r="A259" s="2" t="str">
        <f t="shared" si="3"/>
        <v/>
      </c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5.75" customHeight="1">
      <c r="A260" s="2" t="str">
        <f t="shared" si="3"/>
        <v/>
      </c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5.75" customHeight="1">
      <c r="A261" s="2" t="str">
        <f t="shared" ref="A261:A324" si="4">IF(B261="","","DEF-"&amp;TEXT(ROW()-4,"0000"))</f>
        <v/>
      </c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5.75" customHeight="1">
      <c r="A262" s="2" t="str">
        <f t="shared" si="4"/>
        <v/>
      </c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5.75" customHeight="1">
      <c r="A263" s="2" t="str">
        <f t="shared" si="4"/>
        <v/>
      </c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5.75" customHeight="1">
      <c r="A264" s="2" t="str">
        <f t="shared" si="4"/>
        <v/>
      </c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5.75" customHeight="1">
      <c r="A265" s="2" t="str">
        <f t="shared" si="4"/>
        <v/>
      </c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5.75" customHeight="1">
      <c r="A266" s="2" t="str">
        <f t="shared" si="4"/>
        <v/>
      </c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5.75" customHeight="1">
      <c r="A267" s="2" t="str">
        <f t="shared" si="4"/>
        <v/>
      </c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5.75" customHeight="1">
      <c r="A268" s="2" t="str">
        <f t="shared" si="4"/>
        <v/>
      </c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5.75" customHeight="1">
      <c r="A269" s="2" t="str">
        <f t="shared" si="4"/>
        <v/>
      </c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5.75" customHeight="1">
      <c r="A270" s="2" t="str">
        <f t="shared" si="4"/>
        <v/>
      </c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5.75" customHeight="1">
      <c r="A271" s="2" t="str">
        <f t="shared" si="4"/>
        <v/>
      </c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5.75" customHeight="1">
      <c r="A272" s="2" t="str">
        <f t="shared" si="4"/>
        <v/>
      </c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5.75" customHeight="1">
      <c r="A273" s="2" t="str">
        <f t="shared" si="4"/>
        <v/>
      </c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5.75" customHeight="1">
      <c r="A274" s="2" t="str">
        <f t="shared" si="4"/>
        <v/>
      </c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5.75" customHeight="1">
      <c r="A275" s="2" t="str">
        <f t="shared" si="4"/>
        <v/>
      </c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5.75" customHeight="1">
      <c r="A276" s="2" t="str">
        <f t="shared" si="4"/>
        <v/>
      </c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5.75" customHeight="1">
      <c r="A277" s="2" t="str">
        <f t="shared" si="4"/>
        <v/>
      </c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5.75" customHeight="1">
      <c r="A278" s="2" t="str">
        <f t="shared" si="4"/>
        <v/>
      </c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5.75" customHeight="1">
      <c r="A279" s="2" t="str">
        <f t="shared" si="4"/>
        <v/>
      </c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5.75" customHeight="1">
      <c r="A280" s="2" t="str">
        <f t="shared" si="4"/>
        <v/>
      </c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5.75" customHeight="1">
      <c r="A281" s="2" t="str">
        <f t="shared" si="4"/>
        <v/>
      </c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5.75" customHeight="1">
      <c r="A282" s="2" t="str">
        <f t="shared" si="4"/>
        <v/>
      </c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5.75" customHeight="1">
      <c r="A283" s="2" t="str">
        <f t="shared" si="4"/>
        <v/>
      </c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5.75" customHeight="1">
      <c r="A284" s="2" t="str">
        <f t="shared" si="4"/>
        <v/>
      </c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5.75" customHeight="1">
      <c r="A285" s="2" t="str">
        <f t="shared" si="4"/>
        <v/>
      </c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5.75" customHeight="1">
      <c r="A286" s="2" t="str">
        <f t="shared" si="4"/>
        <v/>
      </c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5.75" customHeight="1">
      <c r="A287" s="2" t="str">
        <f t="shared" si="4"/>
        <v/>
      </c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5.75" customHeight="1">
      <c r="A288" s="2" t="str">
        <f t="shared" si="4"/>
        <v/>
      </c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5.75" customHeight="1">
      <c r="A289" s="2" t="str">
        <f t="shared" si="4"/>
        <v/>
      </c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5.75" customHeight="1">
      <c r="A290" s="2" t="str">
        <f t="shared" si="4"/>
        <v/>
      </c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5.75" customHeight="1">
      <c r="A291" s="2" t="str">
        <f t="shared" si="4"/>
        <v/>
      </c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5.75" customHeight="1">
      <c r="A292" s="2" t="str">
        <f t="shared" si="4"/>
        <v/>
      </c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5.75" customHeight="1">
      <c r="A293" s="2" t="str">
        <f t="shared" si="4"/>
        <v/>
      </c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5.75" customHeight="1">
      <c r="A294" s="2" t="str">
        <f t="shared" si="4"/>
        <v/>
      </c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5.75" customHeight="1">
      <c r="A295" s="2" t="str">
        <f t="shared" si="4"/>
        <v/>
      </c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5.75" customHeight="1">
      <c r="A296" s="2" t="str">
        <f t="shared" si="4"/>
        <v/>
      </c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5.75" customHeight="1">
      <c r="A297" s="2" t="str">
        <f t="shared" si="4"/>
        <v/>
      </c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5.75" customHeight="1">
      <c r="A298" s="2" t="str">
        <f t="shared" si="4"/>
        <v/>
      </c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5.75" customHeight="1">
      <c r="A299" s="2" t="str">
        <f t="shared" si="4"/>
        <v/>
      </c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5.75" customHeight="1">
      <c r="A300" s="2" t="str">
        <f t="shared" si="4"/>
        <v/>
      </c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5.75" customHeight="1">
      <c r="A301" s="2" t="str">
        <f t="shared" si="4"/>
        <v/>
      </c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5.75" customHeight="1">
      <c r="A302" s="2" t="str">
        <f t="shared" si="4"/>
        <v/>
      </c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5.75" customHeight="1">
      <c r="A303" s="2" t="str">
        <f t="shared" si="4"/>
        <v/>
      </c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5.75" customHeight="1">
      <c r="A304" s="2" t="str">
        <f t="shared" si="4"/>
        <v/>
      </c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L1:M1"/>
    <mergeCell ref="A1:J1"/>
    <mergeCell ref="A2:J2"/>
  </mergeCells>
  <dataValidations count="5">
    <dataValidation type="list" allowBlank="1" sqref="F5:F304" xr:uid="{00000000-0002-0000-1100-000000000000}">
      <formula1>"Chrome,Edge,Firefox,Opera,N/A"</formula1>
    </dataValidation>
    <dataValidation type="list" allowBlank="1" sqref="H5:H304" xr:uid="{00000000-0002-0000-1100-000001000000}">
      <formula1>"Open,In Progress,Resolved,Closed,Deferred,Not a Defect"</formula1>
    </dataValidation>
    <dataValidation type="list" allowBlank="1" sqref="C5:C304" xr:uid="{00000000-0002-0000-1100-000002000000}">
      <formula1>"Login &amp; Session,Product Listing,Product Sorting,Product Detail,Cart,Checkout Information,Checkout Overview,Order Completion,Menu &amp; Navigation,Reset App State,Access &amp; Session Control,Footer &amp; External Links,Interface / Responsive,Core Workflows"</formula1>
    </dataValidation>
    <dataValidation type="list" allowBlank="1" sqref="E5:E304" xr:uid="{00000000-0002-0000-1100-000003000000}">
      <formula1>"N/A,standard_user,locked_out_user,problem_user,performance_glitch_user,error_user,visual_user,Multiple Relevant Users,All Applicable Users,Representative User"</formula1>
    </dataValidation>
    <dataValidation type="list" allowBlank="1" sqref="G5:G304" xr:uid="{00000000-0002-0000-1100-000004000000}">
      <formula1>"Critical,High,Medium,Low"</formula1>
    </dataValidation>
  </dataValidation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000"/>
  <sheetViews>
    <sheetView workbookViewId="0">
      <selection sqref="A1:M1"/>
    </sheetView>
  </sheetViews>
  <sheetFormatPr defaultColWidth="12.625" defaultRowHeight="15" customHeight="1"/>
  <cols>
    <col min="1" max="1" width="28" customWidth="1"/>
    <col min="2" max="2" width="10" customWidth="1"/>
    <col min="3" max="7" width="13" customWidth="1"/>
    <col min="8" max="8" width="20" customWidth="1"/>
    <col min="9" max="13" width="15" customWidth="1"/>
    <col min="14" max="26" width="8.625" customWidth="1"/>
  </cols>
  <sheetData>
    <row r="1" spans="1:13" ht="19.5" customHeight="1">
      <c r="A1" s="12" t="s">
        <v>1267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>
      <c r="A2" s="10" t="s">
        <v>1268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3" ht="30" customHeight="1">
      <c r="A4" s="6" t="s">
        <v>4</v>
      </c>
      <c r="B4" s="6" t="s">
        <v>1269</v>
      </c>
      <c r="C4" s="6" t="s">
        <v>1270</v>
      </c>
      <c r="D4" s="6" t="s">
        <v>183</v>
      </c>
      <c r="E4" s="6" t="s">
        <v>185</v>
      </c>
      <c r="F4" s="6" t="s">
        <v>152</v>
      </c>
      <c r="G4" s="6" t="s">
        <v>188</v>
      </c>
      <c r="H4" s="6" t="s">
        <v>1271</v>
      </c>
      <c r="I4" s="6" t="s">
        <v>1272</v>
      </c>
      <c r="J4" s="6" t="s">
        <v>1273</v>
      </c>
      <c r="K4" s="6" t="s">
        <v>1274</v>
      </c>
      <c r="L4" s="6" t="s">
        <v>1275</v>
      </c>
      <c r="M4" s="6" t="s">
        <v>1276</v>
      </c>
    </row>
    <row r="5" spans="1:13" ht="14.25" customHeight="1">
      <c r="A5" s="3" t="s">
        <v>14</v>
      </c>
      <c r="B5" s="3" t="s">
        <v>191</v>
      </c>
      <c r="C5" s="8">
        <f>COUNTIF('Login &amp; Session - TC'!$A$4:$A$500,"&lt;&gt;")</f>
        <v>40</v>
      </c>
      <c r="D5" s="8">
        <f>COUNTIF('Login &amp; Session - TC'!$B$4:$B$500,"Unit")</f>
        <v>19</v>
      </c>
      <c r="E5" s="8">
        <f>COUNTIF('Login &amp; Session - TC'!$B$4:$B$500,"Integration")</f>
        <v>0</v>
      </c>
      <c r="F5" s="8">
        <f>COUNTIF('Login &amp; Session - TC'!$B$4:$B$500,"System")</f>
        <v>20</v>
      </c>
      <c r="G5" s="8">
        <f>COUNTIF('Login &amp; Session - TC'!$B$4:$B$500,"UAT")</f>
        <v>1</v>
      </c>
      <c r="H5" s="8">
        <f>COUNTIF('Login &amp; Session - TC'!$K$4:$K$500,"Standard feature expectation; may expose an absent capability in the current demo.")+COUNTIF('Login &amp; Session - TC'!$K$4:$K$500,"Standard login/security expectation; included even if not explicitly implemented.")</f>
        <v>8</v>
      </c>
      <c r="I5" s="8">
        <f>COUNTIF('Test Execution Log'!$C$5:$C$1004,"Login &amp; Session")</f>
        <v>39</v>
      </c>
      <c r="J5" s="8">
        <f>COUNTIFS('Test Execution Log'!$C$5:$C$1004,"Login &amp; Session",'Test Execution Log'!$G$5:$G$1004,"Passed")</f>
        <v>31</v>
      </c>
      <c r="K5" s="8">
        <f>COUNTIFS('Test Execution Log'!$C$5:$C$1004,"Login &amp; Session",'Test Execution Log'!$G$5:$G$1004,"Failed")</f>
        <v>7</v>
      </c>
      <c r="L5" s="8">
        <f>COUNTIFS('Test Execution Log'!$C$5:$C$1004,"Login &amp; Session",'Test Execution Log'!$G$5:$G$1004,"Blocked")</f>
        <v>1</v>
      </c>
      <c r="M5" s="8">
        <f>COUNTIFS('Defect Summary'!$C$5:$C$304,"Login &amp; Session",'Defect Summary'!$H$5:$H$304,"&lt;&gt;Closed",'Defect Summary'!$B$5:$B$304,"&lt;&gt;")</f>
        <v>0</v>
      </c>
    </row>
    <row r="6" spans="1:13" ht="14.25" customHeight="1">
      <c r="A6" s="3" t="s">
        <v>193</v>
      </c>
      <c r="B6" s="3" t="s">
        <v>192</v>
      </c>
      <c r="C6" s="8">
        <f>COUNTIF('Product Listing - TC'!$A$4:$A$500,"&lt;&gt;")</f>
        <v>24</v>
      </c>
      <c r="D6" s="8">
        <f>COUNTIF('Product Listing - TC'!$B$4:$B$500,"Unit")</f>
        <v>10</v>
      </c>
      <c r="E6" s="8">
        <f>COUNTIF('Product Listing - TC'!$B$4:$B$500,"Integration")</f>
        <v>2</v>
      </c>
      <c r="F6" s="8">
        <f>COUNTIF('Product Listing - TC'!$B$4:$B$500,"System")</f>
        <v>11</v>
      </c>
      <c r="G6" s="8">
        <f>COUNTIF('Product Listing - TC'!$B$4:$B$500,"UAT")</f>
        <v>1</v>
      </c>
      <c r="H6" s="8">
        <f>COUNTIF('Product Listing - TC'!$K$4:$K$500,"Standard feature expectation; may expose an absent capability in the current demo.")+COUNTIF('Product Listing - TC'!$K$4:$K$500,"Standard login/security expectation; included even if not explicitly implemented.")</f>
        <v>3</v>
      </c>
      <c r="I6" s="8">
        <f>COUNTIF('Test Execution Log'!$C$5:$C$1004,"Product Listing")</f>
        <v>0</v>
      </c>
      <c r="J6" s="8">
        <f>COUNTIFS('Test Execution Log'!$C$5:$C$1004,"Product Listing",'Test Execution Log'!$G$5:$G$1004,"Passed")</f>
        <v>0</v>
      </c>
      <c r="K6" s="8">
        <f>COUNTIFS('Test Execution Log'!$C$5:$C$1004,"Product Listing",'Test Execution Log'!$G$5:$G$1004,"Failed")</f>
        <v>0</v>
      </c>
      <c r="L6" s="8">
        <f>COUNTIFS('Test Execution Log'!$C$5:$C$1004,"Product Listing",'Test Execution Log'!$G$5:$G$1004,"Blocked")</f>
        <v>0</v>
      </c>
      <c r="M6" s="8">
        <f>COUNTIFS('Defect Summary'!$C$5:$C$304,"Product Listing",'Defect Summary'!$H$5:$H$304,"&lt;&gt;Closed",'Defect Summary'!$B$5:$B$304,"&lt;&gt;")</f>
        <v>0</v>
      </c>
    </row>
    <row r="7" spans="1:13" ht="14.25" customHeight="1">
      <c r="A7" s="3" t="s">
        <v>195</v>
      </c>
      <c r="B7" s="3" t="s">
        <v>194</v>
      </c>
      <c r="C7" s="8">
        <f>COUNTIF('Product Sorting - TC'!$A$4:$A$500,"&lt;&gt;")</f>
        <v>14</v>
      </c>
      <c r="D7" s="8">
        <f>COUNTIF('Product Sorting - TC'!$B$4:$B$500,"Unit")</f>
        <v>5</v>
      </c>
      <c r="E7" s="8">
        <f>COUNTIF('Product Sorting - TC'!$B$4:$B$500,"Integration")</f>
        <v>3</v>
      </c>
      <c r="F7" s="8">
        <f>COUNTIF('Product Sorting - TC'!$B$4:$B$500,"System")</f>
        <v>5</v>
      </c>
      <c r="G7" s="8">
        <f>COUNTIF('Product Sorting - TC'!$B$4:$B$500,"UAT")</f>
        <v>1</v>
      </c>
      <c r="H7" s="8">
        <f>COUNTIF('Product Sorting - TC'!$K$4:$K$500,"Standard feature expectation; may expose an absent capability in the current demo.")+COUNTIF('Product Sorting - TC'!$K$4:$K$500,"Standard login/security expectation; included even if not explicitly implemented.")</f>
        <v>0</v>
      </c>
      <c r="I7" s="8">
        <f>COUNTIF('Test Execution Log'!$C$5:$C$1004,"Product Sorting")</f>
        <v>0</v>
      </c>
      <c r="J7" s="8">
        <f>COUNTIFS('Test Execution Log'!$C$5:$C$1004,"Product Sorting",'Test Execution Log'!$G$5:$G$1004,"Passed")</f>
        <v>0</v>
      </c>
      <c r="K7" s="8">
        <f>COUNTIFS('Test Execution Log'!$C$5:$C$1004,"Product Sorting",'Test Execution Log'!$G$5:$G$1004,"Failed")</f>
        <v>0</v>
      </c>
      <c r="L7" s="8">
        <f>COUNTIFS('Test Execution Log'!$C$5:$C$1004,"Product Sorting",'Test Execution Log'!$G$5:$G$1004,"Blocked")</f>
        <v>0</v>
      </c>
      <c r="M7" s="8">
        <f>COUNTIFS('Defect Summary'!$C$5:$C$304,"Product Sorting",'Defect Summary'!$H$5:$H$304,"&lt;&gt;Closed",'Defect Summary'!$B$5:$B$304,"&lt;&gt;")</f>
        <v>0</v>
      </c>
    </row>
    <row r="8" spans="1:13" ht="14.25" customHeight="1">
      <c r="A8" s="3" t="s">
        <v>197</v>
      </c>
      <c r="B8" s="3" t="s">
        <v>196</v>
      </c>
      <c r="C8" s="8">
        <f>COUNTIF('Product Detail - TC'!$A$4:$A$500,"&lt;&gt;")</f>
        <v>16</v>
      </c>
      <c r="D8" s="8">
        <f>COUNTIF('Product Detail - TC'!$B$4:$B$500,"Unit")</f>
        <v>6</v>
      </c>
      <c r="E8" s="8">
        <f>COUNTIF('Product Detail - TC'!$B$4:$B$500,"Integration")</f>
        <v>4</v>
      </c>
      <c r="F8" s="8">
        <f>COUNTIF('Product Detail - TC'!$B$4:$B$500,"System")</f>
        <v>5</v>
      </c>
      <c r="G8" s="8">
        <f>COUNTIF('Product Detail - TC'!$B$4:$B$500,"UAT")</f>
        <v>1</v>
      </c>
      <c r="H8" s="8">
        <f>COUNTIF('Product Detail - TC'!$K$4:$K$500,"Standard feature expectation; may expose an absent capability in the current demo.")+COUNTIF('Product Detail - TC'!$K$4:$K$500,"Standard login/security expectation; included even if not explicitly implemented.")</f>
        <v>1</v>
      </c>
      <c r="I8" s="8">
        <f>COUNTIF('Test Execution Log'!$C$5:$C$1004,"Product Detail")</f>
        <v>0</v>
      </c>
      <c r="J8" s="8">
        <f>COUNTIFS('Test Execution Log'!$C$5:$C$1004,"Product Detail",'Test Execution Log'!$G$5:$G$1004,"Passed")</f>
        <v>0</v>
      </c>
      <c r="K8" s="8">
        <f>COUNTIFS('Test Execution Log'!$C$5:$C$1004,"Product Detail",'Test Execution Log'!$G$5:$G$1004,"Failed")</f>
        <v>0</v>
      </c>
      <c r="L8" s="8">
        <f>COUNTIFS('Test Execution Log'!$C$5:$C$1004,"Product Detail",'Test Execution Log'!$G$5:$G$1004,"Blocked")</f>
        <v>0</v>
      </c>
      <c r="M8" s="8">
        <f>COUNTIFS('Defect Summary'!$C$5:$C$304,"Product Detail",'Defect Summary'!$H$5:$H$304,"&lt;&gt;Closed",'Defect Summary'!$B$5:$B$304,"&lt;&gt;")</f>
        <v>0</v>
      </c>
    </row>
    <row r="9" spans="1:13" ht="14.25" customHeight="1">
      <c r="A9" s="3" t="s">
        <v>199</v>
      </c>
      <c r="B9" s="3" t="s">
        <v>198</v>
      </c>
      <c r="C9" s="8">
        <f>COUNTIF('Cart - TC'!$A$4:$A$500,"&lt;&gt;")</f>
        <v>22</v>
      </c>
      <c r="D9" s="8">
        <f>COUNTIF('Cart - TC'!$B$4:$B$500,"Unit")</f>
        <v>8</v>
      </c>
      <c r="E9" s="8">
        <f>COUNTIF('Cart - TC'!$B$4:$B$500,"Integration")</f>
        <v>2</v>
      </c>
      <c r="F9" s="8">
        <f>COUNTIF('Cart - TC'!$B$4:$B$500,"System")</f>
        <v>10</v>
      </c>
      <c r="G9" s="8">
        <f>COUNTIF('Cart - TC'!$B$4:$B$500,"UAT")</f>
        <v>2</v>
      </c>
      <c r="H9" s="8">
        <f>COUNTIF('Cart - TC'!$K$4:$K$500,"Standard feature expectation; may expose an absent capability in the current demo.")+COUNTIF('Cart - TC'!$K$4:$K$500,"Standard login/security expectation; included even if not explicitly implemented.")</f>
        <v>1</v>
      </c>
      <c r="I9" s="8">
        <f>COUNTIF('Test Execution Log'!$C$5:$C$1004,"Cart")</f>
        <v>0</v>
      </c>
      <c r="J9" s="8">
        <f>COUNTIFS('Test Execution Log'!$C$5:$C$1004,"Cart",'Test Execution Log'!$G$5:$G$1004,"Passed")</f>
        <v>0</v>
      </c>
      <c r="K9" s="8">
        <f>COUNTIFS('Test Execution Log'!$C$5:$C$1004,"Cart",'Test Execution Log'!$G$5:$G$1004,"Failed")</f>
        <v>0</v>
      </c>
      <c r="L9" s="8">
        <f>COUNTIFS('Test Execution Log'!$C$5:$C$1004,"Cart",'Test Execution Log'!$G$5:$G$1004,"Blocked")</f>
        <v>0</v>
      </c>
      <c r="M9" s="8">
        <f>COUNTIFS('Defect Summary'!$C$5:$C$304,"Cart",'Defect Summary'!$H$5:$H$304,"&lt;&gt;Closed",'Defect Summary'!$B$5:$B$304,"&lt;&gt;")</f>
        <v>0</v>
      </c>
    </row>
    <row r="10" spans="1:13" ht="14.25" customHeight="1">
      <c r="A10" s="3" t="s">
        <v>201</v>
      </c>
      <c r="B10" s="3" t="s">
        <v>200</v>
      </c>
      <c r="C10" s="8">
        <f>COUNTIF('Checkout Information - TC'!$A$4:$A$500,"&lt;&gt;")</f>
        <v>27</v>
      </c>
      <c r="D10" s="8">
        <f>COUNTIF('Checkout Information - TC'!$B$4:$B$500,"Unit")</f>
        <v>17</v>
      </c>
      <c r="E10" s="8">
        <f>COUNTIF('Checkout Information - TC'!$B$4:$B$500,"Integration")</f>
        <v>2</v>
      </c>
      <c r="F10" s="8">
        <f>COUNTIF('Checkout Information - TC'!$B$4:$B$500,"System")</f>
        <v>7</v>
      </c>
      <c r="G10" s="8">
        <f>COUNTIF('Checkout Information - TC'!$B$4:$B$500,"UAT")</f>
        <v>1</v>
      </c>
      <c r="H10" s="8">
        <f>COUNTIF('Checkout Information - TC'!$K$4:$K$500,"Standard feature expectation; may expose an absent capability in the current demo.")+COUNTIF('Checkout Information - TC'!$K$4:$K$500,"Standard login/security expectation; included even if not explicitly implemented.")</f>
        <v>2</v>
      </c>
      <c r="I10" s="8">
        <f>COUNTIF('Test Execution Log'!$C$5:$C$1004,"Checkout Information")</f>
        <v>0</v>
      </c>
      <c r="J10" s="8">
        <f>COUNTIFS('Test Execution Log'!$C$5:$C$1004,"Checkout Information",'Test Execution Log'!$G$5:$G$1004,"Passed")</f>
        <v>0</v>
      </c>
      <c r="K10" s="8">
        <f>COUNTIFS('Test Execution Log'!$C$5:$C$1004,"Checkout Information",'Test Execution Log'!$G$5:$G$1004,"Failed")</f>
        <v>0</v>
      </c>
      <c r="L10" s="8">
        <f>COUNTIFS('Test Execution Log'!$C$5:$C$1004,"Checkout Information",'Test Execution Log'!$G$5:$G$1004,"Blocked")</f>
        <v>0</v>
      </c>
      <c r="M10" s="8">
        <f>COUNTIFS('Defect Summary'!$C$5:$C$304,"Checkout Information",'Defect Summary'!$H$5:$H$304,"&lt;&gt;Closed",'Defect Summary'!$B$5:$B$304,"&lt;&gt;")</f>
        <v>0</v>
      </c>
    </row>
    <row r="11" spans="1:13" ht="14.25" customHeight="1">
      <c r="A11" s="3" t="s">
        <v>203</v>
      </c>
      <c r="B11" s="3" t="s">
        <v>202</v>
      </c>
      <c r="C11" s="8">
        <f>COUNTIF('Checkout Overview - TC'!$A$4:$A$500,"&lt;&gt;")</f>
        <v>17</v>
      </c>
      <c r="D11" s="8">
        <f>COUNTIF('Checkout Overview - TC'!$B$4:$B$500,"Unit")</f>
        <v>12</v>
      </c>
      <c r="E11" s="8">
        <f>COUNTIF('Checkout Overview - TC'!$B$4:$B$500,"Integration")</f>
        <v>0</v>
      </c>
      <c r="F11" s="8">
        <f>COUNTIF('Checkout Overview - TC'!$B$4:$B$500,"System")</f>
        <v>3</v>
      </c>
      <c r="G11" s="8">
        <f>COUNTIF('Checkout Overview - TC'!$B$4:$B$500,"UAT")</f>
        <v>2</v>
      </c>
      <c r="H11" s="8">
        <f>COUNTIF('Checkout Overview - TC'!$K$4:$K$500,"Standard feature expectation; may expose an absent capability in the current demo.")+COUNTIF('Checkout Overview - TC'!$K$4:$K$500,"Standard login/security expectation; included even if not explicitly implemented.")</f>
        <v>0</v>
      </c>
      <c r="I11" s="8">
        <f>COUNTIF('Test Execution Log'!$C$5:$C$1004,"Checkout Overview")</f>
        <v>0</v>
      </c>
      <c r="J11" s="8">
        <f>COUNTIFS('Test Execution Log'!$C$5:$C$1004,"Checkout Overview",'Test Execution Log'!$G$5:$G$1004,"Passed")</f>
        <v>0</v>
      </c>
      <c r="K11" s="8">
        <f>COUNTIFS('Test Execution Log'!$C$5:$C$1004,"Checkout Overview",'Test Execution Log'!$G$5:$G$1004,"Failed")</f>
        <v>0</v>
      </c>
      <c r="L11" s="8">
        <f>COUNTIFS('Test Execution Log'!$C$5:$C$1004,"Checkout Overview",'Test Execution Log'!$G$5:$G$1004,"Blocked")</f>
        <v>0</v>
      </c>
      <c r="M11" s="8">
        <f>COUNTIFS('Defect Summary'!$C$5:$C$304,"Checkout Overview",'Defect Summary'!$H$5:$H$304,"&lt;&gt;Closed",'Defect Summary'!$B$5:$B$304,"&lt;&gt;")</f>
        <v>0</v>
      </c>
    </row>
    <row r="12" spans="1:13" ht="14.25" customHeight="1">
      <c r="A12" s="3" t="s">
        <v>205</v>
      </c>
      <c r="B12" s="3" t="s">
        <v>204</v>
      </c>
      <c r="C12" s="8">
        <f>COUNTIF('Order Completion - TC'!$A$4:$A$500,"&lt;&gt;")</f>
        <v>9</v>
      </c>
      <c r="D12" s="8">
        <f>COUNTIF('Order Completion - TC'!$B$4:$B$500,"Unit")</f>
        <v>3</v>
      </c>
      <c r="E12" s="8">
        <f>COUNTIF('Order Completion - TC'!$B$4:$B$500,"Integration")</f>
        <v>0</v>
      </c>
      <c r="F12" s="8">
        <f>COUNTIF('Order Completion - TC'!$B$4:$B$500,"System")</f>
        <v>5</v>
      </c>
      <c r="G12" s="8">
        <f>COUNTIF('Order Completion - TC'!$B$4:$B$500,"UAT")</f>
        <v>1</v>
      </c>
      <c r="H12" s="8">
        <f>COUNTIF('Order Completion - TC'!$K$4:$K$500,"Standard feature expectation; may expose an absent capability in the current demo.")+COUNTIF('Order Completion - TC'!$K$4:$K$500,"Standard login/security expectation; included even if not explicitly implemented.")</f>
        <v>0</v>
      </c>
      <c r="I12" s="8">
        <f>COUNTIF('Test Execution Log'!$C$5:$C$1004,"Order Completion")</f>
        <v>0</v>
      </c>
      <c r="J12" s="8">
        <f>COUNTIFS('Test Execution Log'!$C$5:$C$1004,"Order Completion",'Test Execution Log'!$G$5:$G$1004,"Passed")</f>
        <v>0</v>
      </c>
      <c r="K12" s="8">
        <f>COUNTIFS('Test Execution Log'!$C$5:$C$1004,"Order Completion",'Test Execution Log'!$G$5:$G$1004,"Failed")</f>
        <v>0</v>
      </c>
      <c r="L12" s="8">
        <f>COUNTIFS('Test Execution Log'!$C$5:$C$1004,"Order Completion",'Test Execution Log'!$G$5:$G$1004,"Blocked")</f>
        <v>0</v>
      </c>
      <c r="M12" s="8">
        <f>COUNTIFS('Defect Summary'!$C$5:$C$304,"Order Completion",'Defect Summary'!$H$5:$H$304,"&lt;&gt;Closed",'Defect Summary'!$B$5:$B$304,"&lt;&gt;")</f>
        <v>0</v>
      </c>
    </row>
    <row r="13" spans="1:13" ht="14.25" customHeight="1">
      <c r="A13" s="3" t="s">
        <v>207</v>
      </c>
      <c r="B13" s="3" t="s">
        <v>206</v>
      </c>
      <c r="C13" s="8">
        <f>COUNTIF('Menu Navigation - TC'!$A$4:$A$500,"&lt;&gt;")</f>
        <v>12</v>
      </c>
      <c r="D13" s="8">
        <f>COUNTIF('Menu Navigation - TC'!$B$4:$B$500,"Unit")</f>
        <v>7</v>
      </c>
      <c r="E13" s="8">
        <f>COUNTIF('Menu Navigation - TC'!$B$4:$B$500,"Integration")</f>
        <v>4</v>
      </c>
      <c r="F13" s="8">
        <f>COUNTIF('Menu Navigation - TC'!$B$4:$B$500,"System")</f>
        <v>0</v>
      </c>
      <c r="G13" s="8">
        <f>COUNTIF('Menu Navigation - TC'!$B$4:$B$500,"UAT")</f>
        <v>1</v>
      </c>
      <c r="H13" s="8">
        <f>COUNTIF('Menu Navigation - TC'!$K$4:$K$500,"Standard feature expectation; may expose an absent capability in the current demo.")+COUNTIF('Menu Navigation - TC'!$K$4:$K$500,"Standard login/security expectation; included even if not explicitly implemented.")</f>
        <v>0</v>
      </c>
      <c r="I13" s="8">
        <f>COUNTIF('Test Execution Log'!$C$5:$C$1004,"Menu &amp; Navigation")</f>
        <v>0</v>
      </c>
      <c r="J13" s="8">
        <f>COUNTIFS('Test Execution Log'!$C$5:$C$1004,"Menu &amp; Navigation",'Test Execution Log'!$G$5:$G$1004,"Passed")</f>
        <v>0</v>
      </c>
      <c r="K13" s="8">
        <f>COUNTIFS('Test Execution Log'!$C$5:$C$1004,"Menu &amp; Navigation",'Test Execution Log'!$G$5:$G$1004,"Failed")</f>
        <v>0</v>
      </c>
      <c r="L13" s="8">
        <f>COUNTIFS('Test Execution Log'!$C$5:$C$1004,"Menu &amp; Navigation",'Test Execution Log'!$G$5:$G$1004,"Blocked")</f>
        <v>0</v>
      </c>
      <c r="M13" s="8">
        <f>COUNTIFS('Defect Summary'!$C$5:$C$304,"Menu &amp; Navigation",'Defect Summary'!$H$5:$H$304,"&lt;&gt;Closed",'Defect Summary'!$B$5:$B$304,"&lt;&gt;")</f>
        <v>0</v>
      </c>
    </row>
    <row r="14" spans="1:13" ht="14.25" customHeight="1">
      <c r="A14" s="3" t="s">
        <v>209</v>
      </c>
      <c r="B14" s="3" t="s">
        <v>208</v>
      </c>
      <c r="C14" s="8">
        <f>COUNTIF('Reset App State - TC'!$A$4:$A$500,"&lt;&gt;")</f>
        <v>8</v>
      </c>
      <c r="D14" s="8">
        <f>COUNTIF('Reset App State - TC'!$B$4:$B$500,"Unit")</f>
        <v>0</v>
      </c>
      <c r="E14" s="8">
        <f>COUNTIF('Reset App State - TC'!$B$4:$B$500,"Integration")</f>
        <v>0</v>
      </c>
      <c r="F14" s="8">
        <f>COUNTIF('Reset App State - TC'!$B$4:$B$500,"System")</f>
        <v>7</v>
      </c>
      <c r="G14" s="8">
        <f>COUNTIF('Reset App State - TC'!$B$4:$B$500,"UAT")</f>
        <v>1</v>
      </c>
      <c r="H14" s="8">
        <f>COUNTIF('Reset App State - TC'!$K$4:$K$500,"Standard feature expectation; may expose an absent capability in the current demo.")+COUNTIF('Reset App State - TC'!$K$4:$K$500,"Standard login/security expectation; included even if not explicitly implemented.")</f>
        <v>0</v>
      </c>
      <c r="I14" s="8">
        <f>COUNTIF('Test Execution Log'!$C$5:$C$1004,"Reset App State")</f>
        <v>0</v>
      </c>
      <c r="J14" s="8">
        <f>COUNTIFS('Test Execution Log'!$C$5:$C$1004,"Reset App State",'Test Execution Log'!$G$5:$G$1004,"Passed")</f>
        <v>0</v>
      </c>
      <c r="K14" s="8">
        <f>COUNTIFS('Test Execution Log'!$C$5:$C$1004,"Reset App State",'Test Execution Log'!$G$5:$G$1004,"Failed")</f>
        <v>0</v>
      </c>
      <c r="L14" s="8">
        <f>COUNTIFS('Test Execution Log'!$C$5:$C$1004,"Reset App State",'Test Execution Log'!$G$5:$G$1004,"Blocked")</f>
        <v>0</v>
      </c>
      <c r="M14" s="8">
        <f>COUNTIFS('Defect Summary'!$C$5:$C$304,"Reset App State",'Defect Summary'!$H$5:$H$304,"&lt;&gt;Closed",'Defect Summary'!$B$5:$B$304,"&lt;&gt;")</f>
        <v>0</v>
      </c>
    </row>
    <row r="15" spans="1:13" ht="14.25" customHeight="1">
      <c r="A15" s="3" t="s">
        <v>211</v>
      </c>
      <c r="B15" s="3" t="s">
        <v>210</v>
      </c>
      <c r="C15" s="8">
        <f>COUNTIF('Access Session Control - TC'!$A$4:$A$500,"&lt;&gt;")</f>
        <v>12</v>
      </c>
      <c r="D15" s="8">
        <f>COUNTIF('Access Session Control - TC'!$B$4:$B$500,"Unit")</f>
        <v>0</v>
      </c>
      <c r="E15" s="8">
        <f>COUNTIF('Access Session Control - TC'!$B$4:$B$500,"Integration")</f>
        <v>3</v>
      </c>
      <c r="F15" s="8">
        <f>COUNTIF('Access Session Control - TC'!$B$4:$B$500,"System")</f>
        <v>9</v>
      </c>
      <c r="G15" s="8">
        <f>COUNTIF('Access Session Control - TC'!$B$4:$B$500,"UAT")</f>
        <v>0</v>
      </c>
      <c r="H15" s="8">
        <f>COUNTIF('Access Session Control - TC'!$K$4:$K$500,"Standard feature expectation; may expose an absent capability in the current demo.")+COUNTIF('Access Session Control - TC'!$K$4:$K$500,"Standard login/security expectation; included even if not explicitly implemented.")</f>
        <v>2</v>
      </c>
      <c r="I15" s="8">
        <f>COUNTIF('Test Execution Log'!$C$5:$C$1004,"Access &amp; Session Control")</f>
        <v>0</v>
      </c>
      <c r="J15" s="8">
        <f>COUNTIFS('Test Execution Log'!$C$5:$C$1004,"Access &amp; Session Control",'Test Execution Log'!$G$5:$G$1004,"Passed")</f>
        <v>0</v>
      </c>
      <c r="K15" s="8">
        <f>COUNTIFS('Test Execution Log'!$C$5:$C$1004,"Access &amp; Session Control",'Test Execution Log'!$G$5:$G$1004,"Failed")</f>
        <v>0</v>
      </c>
      <c r="L15" s="8">
        <f>COUNTIFS('Test Execution Log'!$C$5:$C$1004,"Access &amp; Session Control",'Test Execution Log'!$G$5:$G$1004,"Blocked")</f>
        <v>0</v>
      </c>
      <c r="M15" s="8">
        <f>COUNTIFS('Defect Summary'!$C$5:$C$304,"Access &amp; Session Control",'Defect Summary'!$H$5:$H$304,"&lt;&gt;Closed",'Defect Summary'!$B$5:$B$304,"&lt;&gt;")</f>
        <v>0</v>
      </c>
    </row>
    <row r="16" spans="1:13" ht="14.25" customHeight="1">
      <c r="A16" s="3" t="s">
        <v>213</v>
      </c>
      <c r="B16" s="3" t="s">
        <v>212</v>
      </c>
      <c r="C16" s="8">
        <f>COUNTIF('Footer External Links - TC'!$A$4:$A$500,"&lt;&gt;")</f>
        <v>7</v>
      </c>
      <c r="D16" s="8">
        <f>COUNTIF('Footer External Links - TC'!$B$4:$B$500,"Unit")</f>
        <v>4</v>
      </c>
      <c r="E16" s="8">
        <f>COUNTIF('Footer External Links - TC'!$B$4:$B$500,"Integration")</f>
        <v>0</v>
      </c>
      <c r="F16" s="8">
        <f>COUNTIF('Footer External Links - TC'!$B$4:$B$500,"System")</f>
        <v>3</v>
      </c>
      <c r="G16" s="8">
        <f>COUNTIF('Footer External Links - TC'!$B$4:$B$500,"UAT")</f>
        <v>0</v>
      </c>
      <c r="H16" s="8">
        <f>COUNTIF('Footer External Links - TC'!$K$4:$K$500,"Standard feature expectation; may expose an absent capability in the current demo.")+COUNTIF('Footer External Links - TC'!$K$4:$K$500,"Standard login/security expectation; included even if not explicitly implemented.")</f>
        <v>0</v>
      </c>
      <c r="I16" s="8">
        <f>COUNTIF('Test Execution Log'!$C$5:$C$1004,"Footer &amp; External Links")</f>
        <v>0</v>
      </c>
      <c r="J16" s="8">
        <f>COUNTIFS('Test Execution Log'!$C$5:$C$1004,"Footer &amp; External Links",'Test Execution Log'!$G$5:$G$1004,"Passed")</f>
        <v>0</v>
      </c>
      <c r="K16" s="8">
        <f>COUNTIFS('Test Execution Log'!$C$5:$C$1004,"Footer &amp; External Links",'Test Execution Log'!$G$5:$G$1004,"Failed")</f>
        <v>0</v>
      </c>
      <c r="L16" s="8">
        <f>COUNTIFS('Test Execution Log'!$C$5:$C$1004,"Footer &amp; External Links",'Test Execution Log'!$G$5:$G$1004,"Blocked")</f>
        <v>0</v>
      </c>
      <c r="M16" s="8">
        <f>COUNTIFS('Defect Summary'!$C$5:$C$304,"Footer &amp; External Links",'Defect Summary'!$H$5:$H$304,"&lt;&gt;Closed",'Defect Summary'!$B$5:$B$304,"&lt;&gt;")</f>
        <v>0</v>
      </c>
    </row>
    <row r="17" spans="1:13" ht="14.25" customHeight="1">
      <c r="A17" s="3" t="s">
        <v>215</v>
      </c>
      <c r="B17" s="3" t="s">
        <v>214</v>
      </c>
      <c r="C17" s="8">
        <f>COUNTIF('Interface Responsive - TC'!$A$4:$A$500,"&lt;&gt;")</f>
        <v>16</v>
      </c>
      <c r="D17" s="8">
        <f>COUNTIF('Interface Responsive - TC'!$B$4:$B$500,"Unit")</f>
        <v>1</v>
      </c>
      <c r="E17" s="8">
        <f>COUNTIF('Interface Responsive - TC'!$B$4:$B$500,"Integration")</f>
        <v>0</v>
      </c>
      <c r="F17" s="8">
        <f>COUNTIF('Interface Responsive - TC'!$B$4:$B$500,"System")</f>
        <v>14</v>
      </c>
      <c r="G17" s="8">
        <f>COUNTIF('Interface Responsive - TC'!$B$4:$B$500,"UAT")</f>
        <v>1</v>
      </c>
      <c r="H17" s="8">
        <f>COUNTIF('Interface Responsive - TC'!$K$4:$K$500,"Standard feature expectation; may expose an absent capability in the current demo.")+COUNTIF('Interface Responsive - TC'!$K$4:$K$500,"Standard login/security expectation; included even if not explicitly implemented.")</f>
        <v>0</v>
      </c>
      <c r="I17" s="8">
        <f>COUNTIF('Test Execution Log'!$C$5:$C$1004,"Interface / Responsive")</f>
        <v>0</v>
      </c>
      <c r="J17" s="8">
        <f>COUNTIFS('Test Execution Log'!$C$5:$C$1004,"Interface / Responsive",'Test Execution Log'!$G$5:$G$1004,"Passed")</f>
        <v>0</v>
      </c>
      <c r="K17" s="8">
        <f>COUNTIFS('Test Execution Log'!$C$5:$C$1004,"Interface / Responsive",'Test Execution Log'!$G$5:$G$1004,"Failed")</f>
        <v>0</v>
      </c>
      <c r="L17" s="8">
        <f>COUNTIFS('Test Execution Log'!$C$5:$C$1004,"Interface / Responsive",'Test Execution Log'!$G$5:$G$1004,"Blocked")</f>
        <v>0</v>
      </c>
      <c r="M17" s="8">
        <f>COUNTIFS('Defect Summary'!$C$5:$C$304,"Interface / Responsive",'Defect Summary'!$H$5:$H$304,"&lt;&gt;Closed",'Defect Summary'!$B$5:$B$304,"&lt;&gt;")</f>
        <v>0</v>
      </c>
    </row>
    <row r="18" spans="1:13" ht="14.25" customHeight="1">
      <c r="A18" s="3" t="s">
        <v>217</v>
      </c>
      <c r="B18" s="3" t="s">
        <v>216</v>
      </c>
      <c r="C18" s="8">
        <f>COUNTIF('Core Workflows - TC'!$A$4:$A$500,"&lt;&gt;")</f>
        <v>15</v>
      </c>
      <c r="D18" s="8">
        <f>COUNTIF('Core Workflows - TC'!$B$4:$B$500,"Unit")</f>
        <v>0</v>
      </c>
      <c r="E18" s="8">
        <f>COUNTIF('Core Workflows - TC'!$B$4:$B$500,"Integration")</f>
        <v>6</v>
      </c>
      <c r="F18" s="8">
        <f>COUNTIF('Core Workflows - TC'!$B$4:$B$500,"System")</f>
        <v>7</v>
      </c>
      <c r="G18" s="8">
        <f>COUNTIF('Core Workflows - TC'!$B$4:$B$500,"UAT")</f>
        <v>2</v>
      </c>
      <c r="H18" s="8">
        <f>COUNTIF('Core Workflows - TC'!$K$4:$K$500,"Standard feature expectation; may expose an absent capability in the current demo.")+COUNTIF('Core Workflows - TC'!$K$4:$K$500,"Standard login/security expectation; included even if not explicitly implemented.")</f>
        <v>0</v>
      </c>
      <c r="I18" s="8">
        <f>COUNTIF('Test Execution Log'!$C$5:$C$1004,"Core Workflows")</f>
        <v>0</v>
      </c>
      <c r="J18" s="8">
        <f>COUNTIFS('Test Execution Log'!$C$5:$C$1004,"Core Workflows",'Test Execution Log'!$G$5:$G$1004,"Passed")</f>
        <v>0</v>
      </c>
      <c r="K18" s="8">
        <f>COUNTIFS('Test Execution Log'!$C$5:$C$1004,"Core Workflows",'Test Execution Log'!$G$5:$G$1004,"Failed")</f>
        <v>0</v>
      </c>
      <c r="L18" s="8">
        <f>COUNTIFS('Test Execution Log'!$C$5:$C$1004,"Core Workflows",'Test Execution Log'!$G$5:$G$1004,"Blocked")</f>
        <v>0</v>
      </c>
      <c r="M18" s="8">
        <f>COUNTIFS('Defect Summary'!$C$5:$C$304,"Core Workflows",'Defect Summary'!$H$5:$H$304,"&lt;&gt;Closed",'Defect Summary'!$B$5:$B$304,"&lt;&gt;")</f>
        <v>0</v>
      </c>
    </row>
    <row r="19" spans="1:13">
      <c r="A19" s="14" t="s">
        <v>1277</v>
      </c>
      <c r="B19" s="11"/>
      <c r="C19" s="9">
        <f t="shared" ref="C19:M19" si="0">SUM(C5:C18)</f>
        <v>239</v>
      </c>
      <c r="D19" s="9">
        <f t="shared" si="0"/>
        <v>92</v>
      </c>
      <c r="E19" s="9">
        <f t="shared" si="0"/>
        <v>26</v>
      </c>
      <c r="F19" s="9">
        <f t="shared" si="0"/>
        <v>106</v>
      </c>
      <c r="G19" s="9">
        <f t="shared" si="0"/>
        <v>15</v>
      </c>
      <c r="H19" s="9">
        <f t="shared" si="0"/>
        <v>17</v>
      </c>
      <c r="I19" s="9">
        <f t="shared" si="0"/>
        <v>39</v>
      </c>
      <c r="J19" s="9">
        <f t="shared" si="0"/>
        <v>31</v>
      </c>
      <c r="K19" s="9">
        <f t="shared" si="0"/>
        <v>7</v>
      </c>
      <c r="L19" s="9">
        <f t="shared" si="0"/>
        <v>1</v>
      </c>
      <c r="M19" s="9">
        <f t="shared" si="0"/>
        <v>0</v>
      </c>
    </row>
    <row r="21" spans="1:13" ht="15.75" customHeight="1"/>
    <row r="22" spans="1:13" ht="15.75" customHeight="1"/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M2"/>
    <mergeCell ref="A1:M1"/>
    <mergeCell ref="A19:B19"/>
  </mergeCells>
  <conditionalFormatting sqref="K5:K18">
    <cfRule type="expression" dxfId="1" priority="1">
      <formula>K5&gt;0</formula>
    </cfRule>
  </conditionalFormatting>
  <conditionalFormatting sqref="M5:M18">
    <cfRule type="expression" dxfId="0" priority="2">
      <formula>M5&gt;0</formula>
    </cfRule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00"/>
  <sheetViews>
    <sheetView workbookViewId="0">
      <selection sqref="A1:D1"/>
    </sheetView>
  </sheetViews>
  <sheetFormatPr defaultColWidth="12.625" defaultRowHeight="15" customHeight="1"/>
  <cols>
    <col min="1" max="1" width="28" customWidth="1"/>
    <col min="2" max="2" width="48" customWidth="1"/>
    <col min="3" max="4" width="56" customWidth="1"/>
    <col min="5" max="26" width="8.625" customWidth="1"/>
  </cols>
  <sheetData>
    <row r="1" spans="1:4" ht="19.5" customHeight="1">
      <c r="A1" s="12" t="s">
        <v>1278</v>
      </c>
      <c r="B1" s="11"/>
      <c r="C1" s="11"/>
      <c r="D1" s="11"/>
    </row>
    <row r="2" spans="1:4">
      <c r="A2" s="10" t="s">
        <v>1279</v>
      </c>
      <c r="B2" s="11"/>
      <c r="C2" s="11"/>
      <c r="D2" s="11"/>
    </row>
    <row r="4" spans="1:4">
      <c r="A4" s="6" t="s">
        <v>1280</v>
      </c>
      <c r="B4" s="6" t="s">
        <v>1281</v>
      </c>
      <c r="C4" s="6" t="s">
        <v>1282</v>
      </c>
      <c r="D4" s="6" t="s">
        <v>1283</v>
      </c>
    </row>
    <row r="5" spans="1:4" ht="28.5" customHeight="1">
      <c r="A5" s="7" t="s">
        <v>1284</v>
      </c>
      <c r="B5" s="7" t="s">
        <v>1285</v>
      </c>
      <c r="C5" s="7" t="s">
        <v>1286</v>
      </c>
      <c r="D5" s="7" t="s">
        <v>1287</v>
      </c>
    </row>
    <row r="6" spans="1:4" ht="28.5" customHeight="1">
      <c r="A6" s="7" t="s">
        <v>1288</v>
      </c>
      <c r="B6" s="7" t="s">
        <v>1289</v>
      </c>
      <c r="C6" s="7" t="s">
        <v>1290</v>
      </c>
      <c r="D6" s="7" t="s">
        <v>1291</v>
      </c>
    </row>
    <row r="7" spans="1:4" ht="28.5" customHeight="1">
      <c r="A7" s="7" t="s">
        <v>1292</v>
      </c>
      <c r="B7" s="7" t="s">
        <v>1293</v>
      </c>
      <c r="C7" s="7" t="s">
        <v>1294</v>
      </c>
      <c r="D7" s="7" t="s">
        <v>1295</v>
      </c>
    </row>
    <row r="8" spans="1:4" ht="28.5" customHeight="1">
      <c r="A8" s="7" t="s">
        <v>254</v>
      </c>
      <c r="B8" s="7" t="s">
        <v>1296</v>
      </c>
      <c r="C8" s="7" t="s">
        <v>1297</v>
      </c>
      <c r="D8" s="7" t="s">
        <v>1298</v>
      </c>
    </row>
    <row r="9" spans="1:4" ht="28.5" customHeight="1">
      <c r="A9" s="7" t="s">
        <v>260</v>
      </c>
      <c r="B9" s="7" t="s">
        <v>1299</v>
      </c>
      <c r="C9" s="7" t="s">
        <v>1300</v>
      </c>
      <c r="D9" s="7" t="s">
        <v>1301</v>
      </c>
    </row>
    <row r="10" spans="1:4" ht="28.5" customHeight="1">
      <c r="A10" s="7" t="s">
        <v>261</v>
      </c>
      <c r="B10" s="7" t="s">
        <v>1302</v>
      </c>
      <c r="C10" s="7" t="s">
        <v>1303</v>
      </c>
      <c r="D10" s="7" t="s">
        <v>1304</v>
      </c>
    </row>
    <row r="11" spans="1:4" ht="28.5" customHeight="1">
      <c r="A11" s="7" t="s">
        <v>0</v>
      </c>
      <c r="B11" s="7" t="s">
        <v>1305</v>
      </c>
      <c r="C11" s="7" t="s">
        <v>1306</v>
      </c>
      <c r="D11" s="7" t="s">
        <v>1307</v>
      </c>
    </row>
    <row r="12" spans="1:4" ht="28.5" customHeight="1">
      <c r="A12" s="7" t="s">
        <v>162</v>
      </c>
      <c r="B12" s="7" t="s">
        <v>1308</v>
      </c>
      <c r="C12" s="7" t="s">
        <v>1309</v>
      </c>
      <c r="D12" s="7" t="s">
        <v>1310</v>
      </c>
    </row>
    <row r="13" spans="1:4" ht="42.75" customHeight="1">
      <c r="A13" s="7" t="s">
        <v>5</v>
      </c>
      <c r="B13" s="7" t="s">
        <v>1311</v>
      </c>
      <c r="C13" s="7" t="s">
        <v>1312</v>
      </c>
      <c r="D13" s="7" t="s">
        <v>1313</v>
      </c>
    </row>
    <row r="14" spans="1:4" ht="14.25" customHeight="1">
      <c r="A14" s="7" t="s">
        <v>6</v>
      </c>
      <c r="B14" s="7" t="s">
        <v>1314</v>
      </c>
      <c r="C14" s="7" t="s">
        <v>1315</v>
      </c>
      <c r="D14" s="7" t="s">
        <v>1316</v>
      </c>
    </row>
    <row r="15" spans="1:4" ht="28.5" customHeight="1">
      <c r="A15" s="7" t="s">
        <v>175</v>
      </c>
      <c r="B15" s="7" t="s">
        <v>1317</v>
      </c>
      <c r="C15" s="7" t="s">
        <v>1318</v>
      </c>
      <c r="D15" s="7" t="s">
        <v>1319</v>
      </c>
    </row>
    <row r="16" spans="1:4" ht="28.5" customHeight="1">
      <c r="A16" s="7" t="s">
        <v>7</v>
      </c>
      <c r="B16" s="7" t="s">
        <v>1320</v>
      </c>
      <c r="C16" s="7" t="s">
        <v>1321</v>
      </c>
      <c r="D16" s="7" t="s">
        <v>1322</v>
      </c>
    </row>
    <row r="17" spans="1:4" ht="28.5" customHeight="1">
      <c r="A17" s="7" t="s">
        <v>8</v>
      </c>
      <c r="B17" s="7" t="s">
        <v>1323</v>
      </c>
      <c r="C17" s="7" t="s">
        <v>1324</v>
      </c>
      <c r="D17" s="7" t="s">
        <v>1325</v>
      </c>
    </row>
    <row r="18" spans="1:4" ht="28.5" customHeight="1">
      <c r="A18" s="7" t="s">
        <v>1326</v>
      </c>
      <c r="B18" s="7" t="s">
        <v>1327</v>
      </c>
      <c r="C18" s="7" t="s">
        <v>1328</v>
      </c>
      <c r="D18" s="7" t="s">
        <v>1329</v>
      </c>
    </row>
    <row r="19" spans="1:4" ht="28.5" customHeight="1">
      <c r="A19" s="7" t="s">
        <v>1330</v>
      </c>
      <c r="B19" s="7" t="s">
        <v>1331</v>
      </c>
      <c r="C19" s="7" t="s">
        <v>1332</v>
      </c>
      <c r="D19" s="7" t="s">
        <v>1333</v>
      </c>
    </row>
    <row r="20" spans="1:4" ht="28.5" customHeight="1">
      <c r="A20" s="7" t="s">
        <v>262</v>
      </c>
      <c r="B20" s="7" t="s">
        <v>1334</v>
      </c>
      <c r="C20" s="7" t="s">
        <v>1335</v>
      </c>
      <c r="D20" s="7" t="s">
        <v>1336</v>
      </c>
    </row>
    <row r="21" spans="1:4" ht="15.75" customHeight="1"/>
    <row r="22" spans="1:4" ht="15.75" customHeight="1">
      <c r="A22" s="15" t="s">
        <v>1337</v>
      </c>
      <c r="B22" s="11"/>
      <c r="C22" s="11"/>
      <c r="D22" s="11"/>
    </row>
    <row r="23" spans="1:4" ht="15.75" customHeight="1">
      <c r="A23" s="6" t="s">
        <v>5</v>
      </c>
      <c r="B23" s="6" t="s">
        <v>1338</v>
      </c>
      <c r="C23" s="6" t="s">
        <v>1339</v>
      </c>
      <c r="D23" s="6" t="s">
        <v>222</v>
      </c>
    </row>
    <row r="24" spans="1:4" ht="15.75" customHeight="1">
      <c r="A24" s="2" t="s">
        <v>82</v>
      </c>
      <c r="B24" s="2" t="s">
        <v>1340</v>
      </c>
      <c r="C24" s="2" t="s">
        <v>1341</v>
      </c>
      <c r="D24" s="2" t="s">
        <v>1342</v>
      </c>
    </row>
    <row r="25" spans="1:4" ht="15.75" customHeight="1">
      <c r="A25" s="2" t="s">
        <v>98</v>
      </c>
      <c r="B25" s="2" t="s">
        <v>1343</v>
      </c>
      <c r="C25" s="2" t="s">
        <v>1344</v>
      </c>
      <c r="D25" s="2" t="s">
        <v>1345</v>
      </c>
    </row>
    <row r="26" spans="1:4" ht="15.75" customHeight="1">
      <c r="A26" s="2" t="s">
        <v>102</v>
      </c>
      <c r="B26" s="2" t="s">
        <v>1346</v>
      </c>
      <c r="C26" s="2" t="s">
        <v>1347</v>
      </c>
      <c r="D26" s="2" t="s">
        <v>1348</v>
      </c>
    </row>
    <row r="27" spans="1:4" ht="15.75" customHeight="1">
      <c r="A27" s="2" t="s">
        <v>106</v>
      </c>
      <c r="B27" s="2" t="s">
        <v>1349</v>
      </c>
      <c r="C27" s="2" t="s">
        <v>1350</v>
      </c>
      <c r="D27" s="2" t="s">
        <v>1351</v>
      </c>
    </row>
    <row r="28" spans="1:4" ht="15.75" customHeight="1">
      <c r="A28" s="2" t="s">
        <v>110</v>
      </c>
      <c r="B28" s="2" t="s">
        <v>1352</v>
      </c>
      <c r="C28" s="2" t="s">
        <v>1353</v>
      </c>
      <c r="D28" s="2" t="s">
        <v>1354</v>
      </c>
    </row>
    <row r="29" spans="1:4" ht="15.75" customHeight="1">
      <c r="A29" s="2" t="s">
        <v>114</v>
      </c>
      <c r="B29" s="2" t="s">
        <v>1355</v>
      </c>
      <c r="C29" s="2" t="s">
        <v>1356</v>
      </c>
      <c r="D29" s="2" t="s">
        <v>1357</v>
      </c>
    </row>
    <row r="30" spans="1:4" ht="15.75" customHeight="1">
      <c r="A30" s="2" t="s">
        <v>403</v>
      </c>
      <c r="B30" s="2" t="s">
        <v>1358</v>
      </c>
      <c r="C30" s="2" t="s">
        <v>1359</v>
      </c>
      <c r="D30" s="2" t="s">
        <v>1360</v>
      </c>
    </row>
    <row r="31" spans="1:4" ht="15.75" customHeight="1">
      <c r="A31" s="2" t="s">
        <v>15</v>
      </c>
      <c r="B31" s="2" t="s">
        <v>1361</v>
      </c>
      <c r="C31" s="2" t="s">
        <v>1362</v>
      </c>
      <c r="D31" s="2" t="s">
        <v>1363</v>
      </c>
    </row>
    <row r="32" spans="1:4" ht="15.75" customHeight="1"/>
    <row r="33" spans="1:4" ht="15.75" customHeight="1">
      <c r="A33" s="15" t="s">
        <v>1364</v>
      </c>
      <c r="B33" s="11"/>
      <c r="C33" s="11"/>
      <c r="D33" s="11"/>
    </row>
    <row r="34" spans="1:4" ht="15.75" customHeight="1">
      <c r="A34" s="6" t="s">
        <v>1365</v>
      </c>
      <c r="B34" s="6" t="s">
        <v>1366</v>
      </c>
      <c r="C34" s="6" t="s">
        <v>1339</v>
      </c>
      <c r="D34" s="6" t="s">
        <v>1367</v>
      </c>
    </row>
    <row r="35" spans="1:4" ht="15.75" customHeight="1">
      <c r="A35" s="2" t="s">
        <v>267</v>
      </c>
      <c r="B35" s="2" t="s">
        <v>1368</v>
      </c>
      <c r="C35" s="2" t="s">
        <v>1369</v>
      </c>
      <c r="D35" s="2" t="s">
        <v>1370</v>
      </c>
    </row>
    <row r="36" spans="1:4" ht="15.75" customHeight="1">
      <c r="A36" s="2" t="s">
        <v>310</v>
      </c>
      <c r="B36" s="2" t="s">
        <v>1371</v>
      </c>
      <c r="C36" s="2" t="s">
        <v>1372</v>
      </c>
      <c r="D36" s="2" t="s">
        <v>1373</v>
      </c>
    </row>
    <row r="37" spans="1:4" ht="15.75" customHeight="1">
      <c r="A37" s="2" t="s">
        <v>1127</v>
      </c>
      <c r="B37" s="2" t="s">
        <v>1374</v>
      </c>
      <c r="C37" s="2" t="s">
        <v>1375</v>
      </c>
      <c r="D37" s="2" t="s">
        <v>1376</v>
      </c>
    </row>
    <row r="38" spans="1:4" ht="15.75" customHeight="1">
      <c r="A38" s="2" t="s">
        <v>1377</v>
      </c>
      <c r="B38" s="2" t="s">
        <v>1378</v>
      </c>
      <c r="C38" s="2" t="s">
        <v>1379</v>
      </c>
      <c r="D38" s="2" t="s">
        <v>1380</v>
      </c>
    </row>
    <row r="39" spans="1:4" ht="15.75" customHeight="1">
      <c r="A39" s="2" t="s">
        <v>15</v>
      </c>
      <c r="B39" s="2" t="s">
        <v>1381</v>
      </c>
      <c r="C39" s="2" t="s">
        <v>1382</v>
      </c>
      <c r="D39" s="2" t="s">
        <v>1383</v>
      </c>
    </row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2:D22"/>
    <mergeCell ref="A1:D1"/>
    <mergeCell ref="A2:D2"/>
    <mergeCell ref="A33:D3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Document Summary</vt:lpstr>
      <vt:lpstr>Sources &amp; Assumptions</vt:lpstr>
      <vt:lpstr>Login &amp; Session - TC</vt:lpstr>
      <vt:lpstr>Product Listing - TC</vt:lpstr>
      <vt:lpstr>Product Sorting - TC</vt:lpstr>
      <vt:lpstr>Product Detail - TC</vt:lpstr>
      <vt:lpstr>Cart - TC</vt:lpstr>
      <vt:lpstr>Checkout Information - TC</vt:lpstr>
      <vt:lpstr>Checkout Overview - TC</vt:lpstr>
      <vt:lpstr>Order Completion - TC</vt:lpstr>
      <vt:lpstr>Menu Navigation - TC</vt:lpstr>
      <vt:lpstr>Reset App State - TC</vt:lpstr>
      <vt:lpstr>Access Session Control - TC</vt:lpstr>
      <vt:lpstr>Footer External Links - TC</vt:lpstr>
      <vt:lpstr>Interface Responsive - TC</vt:lpstr>
      <vt:lpstr>Core Workflows - TC</vt:lpstr>
      <vt:lpstr>Test Execution Log</vt:lpstr>
      <vt:lpstr>Defect Summary</vt:lpstr>
      <vt:lpstr>Test Case Summary</vt:lpstr>
      <vt:lpstr>Workbook 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Canard Cyris</cp:lastModifiedBy>
  <dcterms:created xsi:type="dcterms:W3CDTF">2026-07-09T12:51:26Z</dcterms:created>
  <dcterms:modified xsi:type="dcterms:W3CDTF">2026-07-10T11:30:58Z</dcterms:modified>
</cp:coreProperties>
</file>