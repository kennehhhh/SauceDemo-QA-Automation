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Summary" sheetId="1" r:id="rId5"/>
    <sheet state="visible" name="Sources &amp; Assumptions" sheetId="2" r:id="rId6"/>
    <sheet state="visible" name="Login &amp; Session - TC" sheetId="3" r:id="rId7"/>
    <sheet state="visible" name="Product Listing - TC" sheetId="4" r:id="rId8"/>
    <sheet state="visible" name="Product Sorting - TC" sheetId="5" r:id="rId9"/>
    <sheet state="visible" name="Product Detail - TC" sheetId="6" r:id="rId10"/>
    <sheet state="visible" name="Cart - TC" sheetId="7" r:id="rId11"/>
    <sheet state="visible" name="Checkout Information - TC" sheetId="8" r:id="rId12"/>
    <sheet state="visible" name="Checkout Overview - TC" sheetId="9" r:id="rId13"/>
    <sheet state="visible" name="Order Completion - TC" sheetId="10" r:id="rId14"/>
    <sheet state="visible" name="Menu Navigation - TC" sheetId="11" r:id="rId15"/>
    <sheet state="visible" name="Reset App State - TC" sheetId="12" r:id="rId16"/>
    <sheet state="visible" name="Access Session Control - TC" sheetId="13" r:id="rId17"/>
    <sheet state="visible" name="Footer External Links - TC" sheetId="14" r:id="rId18"/>
    <sheet state="visible" name="Interface Responsive - TC" sheetId="15" r:id="rId19"/>
    <sheet state="visible" name="Core Workflows - TC" sheetId="16" r:id="rId20"/>
    <sheet state="visible" name="Test Execution Log" sheetId="17" r:id="rId21"/>
    <sheet state="visible" name="Defect Summary" sheetId="18" r:id="rId22"/>
    <sheet state="visible" name="Test Case Summary" sheetId="19" r:id="rId23"/>
    <sheet state="visible" name="Workbook Manual" sheetId="20" r:id="rId24"/>
  </sheets>
  <definedNames/>
  <calcPr/>
</workbook>
</file>

<file path=xl/sharedStrings.xml><?xml version="1.0" encoding="utf-8"?>
<sst xmlns="http://schemas.openxmlformats.org/spreadsheetml/2006/main" count="3165" uniqueCount="1293">
  <si>
    <t>SAUCEDEMO BASE TEST CASE WORKBOOK</t>
  </si>
  <si>
    <t>System</t>
  </si>
  <si>
    <t>SauceDemo / Swag Labs e-commerce demo system</t>
  </si>
  <si>
    <t>Primary URL</t>
  </si>
  <si>
    <t>https://www.saucedemo.com/</t>
  </si>
  <si>
    <t>Primary Baseline Account</t>
  </si>
  <si>
    <t>standard_user / secret_sauce</t>
  </si>
  <si>
    <t>Test Case Architecture</t>
  </si>
  <si>
    <t>Module sheets define test specifications only. Actual execution outcomes are recorded separately in the Test Execution Log.</t>
  </si>
  <si>
    <t>Required Test Categories</t>
  </si>
  <si>
    <t>Unit, Integration, System, UAT</t>
  </si>
  <si>
    <t>Execution Identity</t>
  </si>
  <si>
    <t>Each execution is identified by Case ID + Test User + Browser. Only combinations actually executed should be logged.</t>
  </si>
  <si>
    <t>Browser Coverage Planning</t>
  </si>
  <si>
    <t>Module sheets specify planned browser coverage using Primary Browser, All Supported Browsers, Representative Cross-Browser, Browser-Specific, or N/A.</t>
  </si>
  <si>
    <t>User Applicability Planning</t>
  </si>
  <si>
    <t>Module sheets specify the intended SauceDemo account or user scope without duplicating test cases.</t>
  </si>
  <si>
    <t>Standard Feature Logic</t>
  </si>
  <si>
    <t>Relevant standard e-commerce/login expectations may be tested even when absent from the current demo; such cases are explicitly marked in Remarks.</t>
  </si>
  <si>
    <t>Scope Boundary</t>
  </si>
  <si>
    <t>Coverage remains tied to login/session, catalog, sorting, product details, cart, checkout, completion, menu/reset, access/session control, footer links, interface/responsiveness, and core workflows.</t>
  </si>
  <si>
    <t>No Payment Scope Expansion</t>
  </si>
  <si>
    <t>The workbook does not invent real payment processing because SauceDemo does not provide a payment-entry module.</t>
  </si>
  <si>
    <t>Committed Test Case Set</t>
  </si>
  <si>
    <t>Standard Expectation Cases</t>
  </si>
  <si>
    <t>Execution Status</t>
  </si>
  <si>
    <t>No execution result is assumed until a row is recorded in Test Execution Log.</t>
  </si>
  <si>
    <t>Defect Rule</t>
  </si>
  <si>
    <t>Log only observed and reproducible mismatches between expected and actual behavior.</t>
  </si>
  <si>
    <t>Prepared By</t>
  </si>
  <si>
    <t>Bon, Gomez, Quisayang</t>
  </si>
  <si>
    <t>TEST CATEGORY DEFINITIONS</t>
  </si>
  <si>
    <t>Unit</t>
  </si>
  <si>
    <t>Smallest meaningful field, rule, control, calculation, or deterministic behavior tested in isolation.</t>
  </si>
  <si>
    <t>Integration</t>
  </si>
  <si>
    <t>Interaction between connected SauceDemo modules, controls, states, or navigation steps.</t>
  </si>
  <si>
    <t>Complete behavior through the running site, including full page behavior, protected navigation, and end-to-end paths.</t>
  </si>
  <si>
    <t>UAT</t>
  </si>
  <si>
    <t>Representative-user task acceptance, clarity, and usability.</t>
  </si>
  <si>
    <t>MODULE CODE LEGEND</t>
  </si>
  <si>
    <t>LG</t>
  </si>
  <si>
    <t>Login &amp; Session</t>
  </si>
  <si>
    <t>PL</t>
  </si>
  <si>
    <t>Product Listing</t>
  </si>
  <si>
    <t>PS</t>
  </si>
  <si>
    <t>Product Sorting</t>
  </si>
  <si>
    <t>PD</t>
  </si>
  <si>
    <t>Product Detail</t>
  </si>
  <si>
    <t>CT</t>
  </si>
  <si>
    <t>Cart</t>
  </si>
  <si>
    <t>CI</t>
  </si>
  <si>
    <t>Checkout Information</t>
  </si>
  <si>
    <t>CO</t>
  </si>
  <si>
    <t>Checkout Overview</t>
  </si>
  <si>
    <t>OC</t>
  </si>
  <si>
    <t>Order Completion</t>
  </si>
  <si>
    <t>MN</t>
  </si>
  <si>
    <t>Menu &amp; Navigation</t>
  </si>
  <si>
    <t>RS</t>
  </si>
  <si>
    <t>Reset App State</t>
  </si>
  <si>
    <t>AC</t>
  </si>
  <si>
    <t>Access &amp; Session Control</t>
  </si>
  <si>
    <t>FT</t>
  </si>
  <si>
    <t>Footer &amp; External Links</t>
  </si>
  <si>
    <t>UX</t>
  </si>
  <si>
    <t>Interface / Responsive</t>
  </si>
  <si>
    <t>CW</t>
  </si>
  <si>
    <t>Core Workflows</t>
  </si>
  <si>
    <t>Scope Sources and Assumptions</t>
  </si>
  <si>
    <t>Type</t>
  </si>
  <si>
    <t>Source / Reference</t>
  </si>
  <si>
    <t>How Used</t>
  </si>
  <si>
    <t>Notes</t>
  </si>
  <si>
    <t>Live Site</t>
  </si>
  <si>
    <t>Primary execution target and current UI/workflow verification</t>
  </si>
  <si>
    <t>JavaScript application; final behavior must be confirmed during execution.</t>
  </si>
  <si>
    <t>Uploaded Workbook</t>
  </si>
  <si>
    <t>Previous SauceDemo test-case workbook</t>
  </si>
  <si>
    <t>Provided useful prior module ideas and case wording</t>
  </si>
  <si>
    <t>Older execution structure was replaced by specification/execution separation.</t>
  </si>
  <si>
    <t>Uploaded Professor Template</t>
  </si>
  <si>
    <t>Instructor-provided test-case workbook</t>
  </si>
  <si>
    <t>Provided useful academic conventions and examples of standard-feature testing</t>
  </si>
  <si>
    <t>Broken formulas and outdated rows were not copied.</t>
  </si>
  <si>
    <t>Formatting Reference</t>
  </si>
  <si>
    <t>Latest Artifact test-case workbook structure</t>
  </si>
  <si>
    <t>Primary structural and visual reference</t>
  </si>
  <si>
    <t>Module sheets, testing category column, defect tracking, and linked summary logic were adapted.</t>
  </si>
  <si>
    <t>Assumption</t>
  </si>
  <si>
    <t>standard_user is the happy-path baseline</t>
  </si>
  <si>
    <t>Expected normal system behavior</t>
  </si>
  <si>
    <t>Special accounts are compared against this baseline where relevant.</t>
  </si>
  <si>
    <t>Special SauceDemo accounts may intentionally expose anomalies</t>
  </si>
  <si>
    <t>Used for targeted user-specific execution</t>
  </si>
  <si>
    <t>Exact behavior must be recorded rather than guessed.</t>
  </si>
  <si>
    <t>Standard absent features may be tested when tightly adjacent to the module</t>
  </si>
  <si>
    <t>Remember Me, Forgot Password, rate limiting, field limits, product search, quantity controls</t>
  </si>
  <si>
    <t>Cases are explicitly marked in Remarks.</t>
  </si>
  <si>
    <t>Execution Principle</t>
  </si>
  <si>
    <t>No Cartesian product is required</t>
  </si>
  <si>
    <t>Only relevant Case ID + Test User + Browser combinations are executed and logged</t>
  </si>
  <si>
    <t>The Test Execution Log is evidence of actual execution, not a pre-generated matrix.</t>
  </si>
  <si>
    <t>Login &amp; Session Test Cases</t>
  </si>
  <si>
    <t>Module Code: LG</t>
  </si>
  <si>
    <t>Case ID</t>
  </si>
  <si>
    <t>Test Category</t>
  </si>
  <si>
    <t>Module</t>
  </si>
  <si>
    <t>Test Case / Scenario</t>
  </si>
  <si>
    <t>Preconditions</t>
  </si>
  <si>
    <t>Test Data</t>
  </si>
  <si>
    <t>Test Steps</t>
  </si>
  <si>
    <t>Expected Result</t>
  </si>
  <si>
    <t>Applicable User</t>
  </si>
  <si>
    <t>Browser Coverage</t>
  </si>
  <si>
    <t>Remarks</t>
  </si>
  <si>
    <t>Automation Candidate</t>
  </si>
  <si>
    <t>LG-0001</t>
  </si>
  <si>
    <t>Username field is visible</t>
  </si>
  <si>
    <t>Login page open</t>
  </si>
  <si>
    <t>N/A</t>
  </si>
  <si>
    <t>1. Observe login form</t>
  </si>
  <si>
    <t>Username input is visible and identifiable</t>
  </si>
  <si>
    <t>Primary Browser</t>
  </si>
  <si>
    <t>Yes</t>
  </si>
  <si>
    <t>LG-0002</t>
  </si>
  <si>
    <t>Password field is visible</t>
  </si>
  <si>
    <t>Password input is visible and identifiable</t>
  </si>
  <si>
    <t>LG-0003</t>
  </si>
  <si>
    <t>Login button is visible</t>
  </si>
  <si>
    <t>Login action is visible</t>
  </si>
  <si>
    <t>LG-0004</t>
  </si>
  <si>
    <t>Username field is enabled</t>
  </si>
  <si>
    <t>standard_user</t>
  </si>
  <si>
    <t>1. Click username
2. Type value</t>
  </si>
  <si>
    <t>Username field accepts input</t>
  </si>
  <si>
    <t>LG-0005</t>
  </si>
  <si>
    <t>Password field is enabled</t>
  </si>
  <si>
    <t>secret_sauce</t>
  </si>
  <si>
    <t>1. Click password
2. Type value</t>
  </si>
  <si>
    <t>Password field accepts input</t>
  </si>
  <si>
    <t>LG-0006</t>
  </si>
  <si>
    <t>Password characters are masked</t>
  </si>
  <si>
    <t>1. Enter password
2. Observe characters</t>
  </si>
  <si>
    <t>Password is visually masked</t>
  </si>
  <si>
    <t>LG-0007</t>
  </si>
  <si>
    <t>Pressing Enter submits valid credentials</t>
  </si>
  <si>
    <t>Valid credentials entered</t>
  </si>
  <si>
    <t>1. Press Enter</t>
  </si>
  <si>
    <t>Login submission occurs</t>
  </si>
  <si>
    <t>LG-0008</t>
  </si>
  <si>
    <t>Pressing Enter with empty fields triggers validation</t>
  </si>
  <si>
    <t>empty</t>
  </si>
  <si>
    <t>Login is rejected with required-field feedback</t>
  </si>
  <si>
    <t>LG-0009</t>
  </si>
  <si>
    <t>Reject both credentials empty</t>
  </si>
  <si>
    <t>username=''; password=''</t>
  </si>
  <si>
    <t>1. Enter username
2. Enter password
3. Click Login</t>
  </si>
  <si>
    <t>Username requirement is indicated</t>
  </si>
  <si>
    <t>LG-0010</t>
  </si>
  <si>
    <t>Reject empty username with valid password</t>
  </si>
  <si>
    <t>username=''; password='secret_sauce'</t>
  </si>
  <si>
    <t>LG-0011</t>
  </si>
  <si>
    <t>Reject valid username with empty password</t>
  </si>
  <si>
    <t>username='standard_user'; password=''</t>
  </si>
  <si>
    <t>Password requirement is indicated</t>
  </si>
  <si>
    <t>LG-0012</t>
  </si>
  <si>
    <t>Reject invalid username with valid password</t>
  </si>
  <si>
    <t>username='not_a_user'; password='secret_sauce'</t>
  </si>
  <si>
    <t>Login is rejected with appropriate invalid-credentials feedback</t>
  </si>
  <si>
    <t>LG-0013</t>
  </si>
  <si>
    <t>Reject valid username with invalid password</t>
  </si>
  <si>
    <t>username='standard_user'; password='wrong_password'</t>
  </si>
  <si>
    <t>LG-0014</t>
  </si>
  <si>
    <t>Reject invalid username and invalid password</t>
  </si>
  <si>
    <t>username='bad_user'; password='bad_pass'</t>
  </si>
  <si>
    <t>Login is rejected</t>
  </si>
  <si>
    <t>LG-0015</t>
  </si>
  <si>
    <t>Accept standard_user credentials</t>
  </si>
  <si>
    <t>username='standard_user'; password='secret_sauce'</t>
  </si>
  <si>
    <t>User is redirected to the Products inventory</t>
  </si>
  <si>
    <t>All Supported Browsers</t>
  </si>
  <si>
    <t>LG-0016</t>
  </si>
  <si>
    <t>Whitespace-only username</t>
  </si>
  <si>
    <t>username=   ; password=secret_sauce</t>
  </si>
  <si>
    <t>1. Enter test values
2. Click Login</t>
  </si>
  <si>
    <t>Login is rejected as missing/invalid username</t>
  </si>
  <si>
    <t>LG-0017</t>
  </si>
  <si>
    <t>Whitespace-only password</t>
  </si>
  <si>
    <t xml:space="preserve">username=standard_user; password=   </t>
  </si>
  <si>
    <t>Login is rejected as missing/invalid password</t>
  </si>
  <si>
    <t>LG-0018</t>
  </si>
  <si>
    <t>Handle SQL injection-like username safely</t>
  </si>
  <si>
    <t>username=' OR '1'='1; password=secret_sauce</t>
  </si>
  <si>
    <t>1. Enter payload
2. Click Login</t>
  </si>
  <si>
    <t>Login is rejected; payload is not executed and page remains stable</t>
  </si>
  <si>
    <t>LG-0019</t>
  </si>
  <si>
    <t>Handle XSS-like username safely</t>
  </si>
  <si>
    <t>username=&lt;script&gt;alert(1)&lt;/script&gt;; password=secret_sauce</t>
  </si>
  <si>
    <t>LG-0020</t>
  </si>
  <si>
    <t>Display login error message after invalid credentials</t>
  </si>
  <si>
    <t>invalid then valid credentials</t>
  </si>
  <si>
    <t>1. Enter invalid credentials
2. Click Login</t>
  </si>
  <si>
    <t>An error message is displayed</t>
  </si>
  <si>
    <t>Candidate</t>
  </si>
  <si>
    <t>LG-0021</t>
  </si>
  <si>
    <t>Error close control dismisses message when available</t>
  </si>
  <si>
    <t>1. Trigger error
2. Click close icon</t>
  </si>
  <si>
    <t>Error banner is dismissed without clearing unrelated state unexpectedly</t>
  </si>
  <si>
    <t>LG-0022</t>
  </si>
  <si>
    <t>New successful login clears prior error state</t>
  </si>
  <si>
    <t>1. Trigger invalid login
2. Enter valid credentials
3. Submit</t>
  </si>
  <si>
    <t>User logs in and stale error is no longer displayed</t>
  </si>
  <si>
    <t>LG-0023</t>
  </si>
  <si>
    <t>Authenticate with locked_out_user</t>
  </si>
  <si>
    <t>locked_out_user / secret_sauce</t>
  </si>
  <si>
    <t>1. Enter credentials
2. Click Login</t>
  </si>
  <si>
    <t>Login is rejected with locked-out-user feedback</t>
  </si>
  <si>
    <t>locked_out_user</t>
  </si>
  <si>
    <t>Special SauceDemo test account behavior; compare against standard_user baseline.</t>
  </si>
  <si>
    <t>LG-0024</t>
  </si>
  <si>
    <t>Authenticate with problem_user</t>
  </si>
  <si>
    <t>problem_user / secret_sauce</t>
  </si>
  <si>
    <t>User can authenticate; subsequent known anomalous behavior is tested in relevant modules</t>
  </si>
  <si>
    <t>problem_user</t>
  </si>
  <si>
    <t>LG-0025</t>
  </si>
  <si>
    <t>Authenticate with performance_glitch_user</t>
  </si>
  <si>
    <t>performance_glitch_user / secret_sauce</t>
  </si>
  <si>
    <t>User can authenticate; performance delay is observed without incorrect final navigation</t>
  </si>
  <si>
    <t>performance_glitch_user</t>
  </si>
  <si>
    <t>LG-0026</t>
  </si>
  <si>
    <t>Authenticate with error_user</t>
  </si>
  <si>
    <t>error_user / secret_sauce</t>
  </si>
  <si>
    <t>User can authenticate; error-specific behavior is exercised in downstream modules</t>
  </si>
  <si>
    <t>error_user</t>
  </si>
  <si>
    <t>LG-0027</t>
  </si>
  <si>
    <t>Authenticate with visual_user</t>
  </si>
  <si>
    <t>visual_user / secret_sauce</t>
  </si>
  <si>
    <t>User can authenticate; visual discrepancies are exercised in UI modules</t>
  </si>
  <si>
    <t>visual_user</t>
  </si>
  <si>
    <t>LG-0028</t>
  </si>
  <si>
    <t>Remember Me option is available</t>
  </si>
  <si>
    <t>1. Inspect login form</t>
  </si>
  <si>
    <t>A Remember Me control is available to preserve opted-in username/session behavior</t>
  </si>
  <si>
    <t>Standard feature expectation; may expose an absent capability in the current demo.</t>
  </si>
  <si>
    <t>LG-0029</t>
  </si>
  <si>
    <t>Remember Me persists intended login convenience</t>
  </si>
  <si>
    <t>Remember Me exists</t>
  </si>
  <si>
    <t>valid credentials</t>
  </si>
  <si>
    <t>1. Select Remember Me
2. Login
3. Close/reopen browser as appropriate</t>
  </si>
  <si>
    <t>Documented remembered state is preserved without exposing plaintext password</t>
  </si>
  <si>
    <t>LG-0030</t>
  </si>
  <si>
    <t>Forgot Password recovery entry point is available</t>
  </si>
  <si>
    <t>1. Inspect login page</t>
  </si>
  <si>
    <t>A recovery path is available</t>
  </si>
  <si>
    <t>LG-0031</t>
  </si>
  <si>
    <t>Show/Hide Password control is available</t>
  </si>
  <si>
    <t>1. Enter password
2. Toggle visibility</t>
  </si>
  <si>
    <t>Password visibility changes only on explicit user action</t>
  </si>
  <si>
    <t>LG-0032</t>
  </si>
  <si>
    <t>Username maximum length is enforced</t>
  </si>
  <si>
    <t>256-character username</t>
  </si>
  <si>
    <t>1. Paste long input</t>
  </si>
  <si>
    <t>Field enforces a defined maximum or safely constrains input</t>
  </si>
  <si>
    <t>LG-0033</t>
  </si>
  <si>
    <t>Password maximum length is enforced</t>
  </si>
  <si>
    <t>256-character password</t>
  </si>
  <si>
    <t>LG-0034</t>
  </si>
  <si>
    <t>Repeated failed logins are rate-limited</t>
  </si>
  <si>
    <t>invalid credentials repeated</t>
  </si>
  <si>
    <t>1. Submit repeated invalid attempts rapidly</t>
  </si>
  <si>
    <t>System applies throttling, delay, challenge, or equivalent abuse protection</t>
  </si>
  <si>
    <t>Standard login/security expectation; included even if not explicitly implemented.</t>
  </si>
  <si>
    <t>LG-0035</t>
  </si>
  <si>
    <t>Excessive failed attempts trigger temporary protection</t>
  </si>
  <si>
    <t>many invalid attempts</t>
  </si>
  <si>
    <t>1. Repeat invalid login beyond policy threshold</t>
  </si>
  <si>
    <t>System protects against brute-force attempts without permanent denial of legitimate access</t>
  </si>
  <si>
    <t>LG-0036</t>
  </si>
  <si>
    <t>Logout option is available after login</t>
  </si>
  <si>
    <t>Logged in as standard_user</t>
  </si>
  <si>
    <t>1. Open side menu</t>
  </si>
  <si>
    <t>Logout option is visible</t>
  </si>
  <si>
    <t>LG-0037</t>
  </si>
  <si>
    <t>Logout returns user to login page</t>
  </si>
  <si>
    <t>1. Open menu
2. Click Logout</t>
  </si>
  <si>
    <t>Login page is displayed</t>
  </si>
  <si>
    <t>LG-0038</t>
  </si>
  <si>
    <t>Browser Back after logout does not restore usable authenticated state</t>
  </si>
  <si>
    <t>User logged out</t>
  </si>
  <si>
    <t>1. Press browser Back</t>
  </si>
  <si>
    <t>Protected page is not usable without re-authentication</t>
  </si>
  <si>
    <t>LG-0039</t>
  </si>
  <si>
    <t>Direct inventory URL after logout is blocked</t>
  </si>
  <si>
    <t>/inventory.html</t>
  </si>
  <si>
    <t>1. Navigate directly</t>
  </si>
  <si>
    <t>User is redirected/rejected and protected content is not usable</t>
  </si>
  <si>
    <t>LG-0040</t>
  </si>
  <si>
    <t>Representative user logs in without assistance</t>
  </si>
  <si>
    <t>Representative tester; site available</t>
  </si>
  <si>
    <t>Use standard_user credentials</t>
  </si>
  <si>
    <t>1. Give task without step-by-step coaching
2. Observe completion</t>
  </si>
  <si>
    <t>User completes login and understands success</t>
  </si>
  <si>
    <t>Representative User</t>
  </si>
  <si>
    <t>No</t>
  </si>
  <si>
    <t>Product Listing Test Cases</t>
  </si>
  <si>
    <t>Module Code: PL</t>
  </si>
  <si>
    <t>PL-0001</t>
  </si>
  <si>
    <t>Products heading is displayed</t>
  </si>
  <si>
    <t>1. Observe inventory</t>
  </si>
  <si>
    <t>Products heading is visible</t>
  </si>
  <si>
    <t>PL-0002</t>
  </si>
  <si>
    <t>Inventory list is displayed</t>
  </si>
  <si>
    <t>Logged in</t>
  </si>
  <si>
    <t>Product list container is visible</t>
  </si>
  <si>
    <t>PL-0003</t>
  </si>
  <si>
    <t>Each product card shows name</t>
  </si>
  <si>
    <t>Inventory loaded</t>
  </si>
  <si>
    <t>All displayed products</t>
  </si>
  <si>
    <t>1. Inspect cards</t>
  </si>
  <si>
    <t>Each card has a non-empty product name</t>
  </si>
  <si>
    <t>PL-0004</t>
  </si>
  <si>
    <t>Each product card shows description</t>
  </si>
  <si>
    <t>Each card has a description</t>
  </si>
  <si>
    <t>PL-0005</t>
  </si>
  <si>
    <t>Each product card shows price</t>
  </si>
  <si>
    <t>Each card shows a valid currency-formatted price</t>
  </si>
  <si>
    <t>PL-0006</t>
  </si>
  <si>
    <t>Each product card shows image</t>
  </si>
  <si>
    <t>Each card displays an image or meaningful fallback</t>
  </si>
  <si>
    <t>PL-0007</t>
  </si>
  <si>
    <t>Each product card shows Add to cart action when not selected</t>
  </si>
  <si>
    <t>No items added</t>
  </si>
  <si>
    <t>All products</t>
  </si>
  <si>
    <t>Each purchasable item shows Add to cart</t>
  </si>
  <si>
    <t>PL-0008</t>
  </si>
  <si>
    <t>Product names are clickable</t>
  </si>
  <si>
    <t>Any product</t>
  </si>
  <si>
    <t>1. Click product name</t>
  </si>
  <si>
    <t>Matching detail page opens</t>
  </si>
  <si>
    <t>PL-0009</t>
  </si>
  <si>
    <t>Product images are clickable when supported</t>
  </si>
  <si>
    <t>1. Click product image</t>
  </si>
  <si>
    <t>Matching detail page opens or click behavior is consistently non-interactive</t>
  </si>
  <si>
    <t>PL-0010</t>
  </si>
  <si>
    <t>Cart icon is visible</t>
  </si>
  <si>
    <t>1. Observe header</t>
  </si>
  <si>
    <t>Cart control is visible</t>
  </si>
  <si>
    <t>PL-0011</t>
  </si>
  <si>
    <t>Display product: Sauce Labs Backpack</t>
  </si>
  <si>
    <t>Expected baseline catalog</t>
  </si>
  <si>
    <t>1. Open Products page
2. Locate product</t>
  </si>
  <si>
    <t>Sauce Labs Backpack is displayed with name, description, price, image, and cart action</t>
  </si>
  <si>
    <t>Observed/current SauceDemo workflow assumption; verify against live site during execution.</t>
  </si>
  <si>
    <t>PL-0012</t>
  </si>
  <si>
    <t>Display product: Test.allTheThings() T-Shirt (Red)</t>
  </si>
  <si>
    <t>Test.allTheThings() T-Shirt (Red) is displayed with name, description, price, image, and cart action</t>
  </si>
  <si>
    <t>PL-0013</t>
  </si>
  <si>
    <t>Add Sauce Labs Backpack from listing updates product control and cart badge</t>
  </si>
  <si>
    <t>Logged in; product not in cart</t>
  </si>
  <si>
    <t>Sauce Labs Backpack</t>
  </si>
  <si>
    <t>1. Locate Sauce Labs Backpack
2. Click Add to cart</t>
  </si>
  <si>
    <t>Button changes to Remove and cart badge increments</t>
  </si>
  <si>
    <t>PL-0014</t>
  </si>
  <si>
    <t>Remove Sauce Labs Backpack from listing updates control and cart badge</t>
  </si>
  <si>
    <t>Product already in cart</t>
  </si>
  <si>
    <t>1. Locate Sauce Labs Backpack
2. Click Remove</t>
  </si>
  <si>
    <t>Button returns to Add to cart and cart badge decrements</t>
  </si>
  <si>
    <t>PL-0015</t>
  </si>
  <si>
    <t>Inventory remains stable after browser refresh</t>
  </si>
  <si>
    <t>Logged in on Products page</t>
  </si>
  <si>
    <t>1. Refresh page</t>
  </si>
  <si>
    <t>Products reload without duplicate cards or broken layout</t>
  </si>
  <si>
    <t>PL-0016</t>
  </si>
  <si>
    <t>Cart badge reflects number of distinct added products</t>
  </si>
  <si>
    <t>Add 3 different products</t>
  </si>
  <si>
    <t>1. Add 3 products</t>
  </si>
  <si>
    <t>Badge displays 3</t>
  </si>
  <si>
    <t>PL-0017</t>
  </si>
  <si>
    <t>Cart badge disappears when cart becomes empty</t>
  </si>
  <si>
    <t>One product in cart</t>
  </si>
  <si>
    <t>1. Remove product</t>
  </si>
  <si>
    <t>Badge is removed or shows empty state consistently</t>
  </si>
  <si>
    <t>PL-0018</t>
  </si>
  <si>
    <t>Adding one product does not alter unrelated product data</t>
  </si>
  <si>
    <t>1. Record another card values
2. Add product</t>
  </si>
  <si>
    <t>Unrelated product name/price/description remain unchanged</t>
  </si>
  <si>
    <t>PL-0019</t>
  </si>
  <si>
    <t>Product prices use consistent currency format</t>
  </si>
  <si>
    <t>1. Inspect prices</t>
  </si>
  <si>
    <t>Prices use consistent dollar/currency formatting</t>
  </si>
  <si>
    <t>PL-0020</t>
  </si>
  <si>
    <t>No duplicate product cards are displayed</t>
  </si>
  <si>
    <t>1. Compare names/identifiers</t>
  </si>
  <si>
    <t>Catalog does not show accidental duplicates</t>
  </si>
  <si>
    <t>PL-0021</t>
  </si>
  <si>
    <t>Product search control is available</t>
  </si>
  <si>
    <t>Search term</t>
  </si>
  <si>
    <t>1. Inspect product discovery controls</t>
  </si>
  <si>
    <t>A search capability is available for locating products</t>
  </si>
  <si>
    <t>PL-0022</t>
  </si>
  <si>
    <t>Search returns matching products</t>
  </si>
  <si>
    <t>Search control exists</t>
  </si>
  <si>
    <t>Backpack</t>
  </si>
  <si>
    <t>1. Search term</t>
  </si>
  <si>
    <t>Only relevant products or clear no-result state is shown</t>
  </si>
  <si>
    <t>PL-0023</t>
  </si>
  <si>
    <t>No-result search state is clear</t>
  </si>
  <si>
    <t>zzzz-no-match</t>
  </si>
  <si>
    <t>Clear no-results feedback is displayed</t>
  </si>
  <si>
    <t>PL-0024</t>
  </si>
  <si>
    <t>User identifies a product from listing</t>
  </si>
  <si>
    <t>Representative user logged in</t>
  </si>
  <si>
    <t>Ask user to find Sauce Labs Backpack</t>
  </si>
  <si>
    <t>1. Give task
2. Observe</t>
  </si>
  <si>
    <t>User locates product without assistance</t>
  </si>
  <si>
    <t>Product Sorting Test Cases</t>
  </si>
  <si>
    <t>Module Code: PS</t>
  </si>
  <si>
    <t>PS-0001</t>
  </si>
  <si>
    <t>Sort dropdown is visible</t>
  </si>
  <si>
    <t>1. Observe sort control</t>
  </si>
  <si>
    <t>Sort dropdown is visible and enabled</t>
  </si>
  <si>
    <t>PS-0002</t>
  </si>
  <si>
    <t>Sort option Name (A to Z) is available</t>
  </si>
  <si>
    <t>Products page loaded</t>
  </si>
  <si>
    <t>Name (A to Z)</t>
  </si>
  <si>
    <t>1. Open sort dropdown</t>
  </si>
  <si>
    <t>Requested option appears</t>
  </si>
  <si>
    <t>PS-0003</t>
  </si>
  <si>
    <t>Apply Name (A to Z) sorting</t>
  </si>
  <si>
    <t>1. Select Name (A to Z)
2. Read resulting order</t>
  </si>
  <si>
    <t>Products are ordered alphabetically ascending</t>
  </si>
  <si>
    <t>PS-0004</t>
  </si>
  <si>
    <t>Sort option Name (Z to A) is available</t>
  </si>
  <si>
    <t>Name (Z to A)</t>
  </si>
  <si>
    <t>PS-0005</t>
  </si>
  <si>
    <t>Apply Name (Z to A) sorting</t>
  </si>
  <si>
    <t>1. Select Name (Z to A)
2. Read resulting order</t>
  </si>
  <si>
    <t>Products are ordered alphabetically descending</t>
  </si>
  <si>
    <t>PS-0006</t>
  </si>
  <si>
    <t>Sort option Price (low to high) is available</t>
  </si>
  <si>
    <t>Price (low to high)</t>
  </si>
  <si>
    <t>PS-0007</t>
  </si>
  <si>
    <t>Apply Price (low to high) sorting</t>
  </si>
  <si>
    <t>1. Select Price (low to high)
2. Read resulting order</t>
  </si>
  <si>
    <t>Products are ordered numerically ascending by price</t>
  </si>
  <si>
    <t>PS-0008</t>
  </si>
  <si>
    <t>Sort option Price (high to low) is available</t>
  </si>
  <si>
    <t>Price (high to low)</t>
  </si>
  <si>
    <t>PS-0009</t>
  </si>
  <si>
    <t>Apply Price (high to low) sorting</t>
  </si>
  <si>
    <t>1. Select Price (high to low)
2. Read resulting order</t>
  </si>
  <si>
    <t>Products are ordered numerically descending by price</t>
  </si>
  <si>
    <t>PS-0010</t>
  </si>
  <si>
    <t>Default sort order is deterministic</t>
  </si>
  <si>
    <t>1. Perform relevant sort interaction</t>
  </si>
  <si>
    <t>Initial product order is consistent on repeated loads</t>
  </si>
  <si>
    <t>PS-0011</t>
  </si>
  <si>
    <t>Changing sort does not alter cart contents</t>
  </si>
  <si>
    <t>Existing cart selections remain unchanged</t>
  </si>
  <si>
    <t>PS-0012</t>
  </si>
  <si>
    <t>Sort remains usable after adding items</t>
  </si>
  <si>
    <t>Dropdown still works and selected cart state remains accurate</t>
  </si>
  <si>
    <t>PS-0013</t>
  </si>
  <si>
    <t>Sort behavior persists or resets deterministically after refresh</t>
  </si>
  <si>
    <t>Products sorted</t>
  </si>
  <si>
    <t>Any option</t>
  </si>
  <si>
    <t>Behavior follows a consistent defined policy without corrupting list</t>
  </si>
  <si>
    <t>PS-0014</t>
  </si>
  <si>
    <t>Representative user sorts by lowest price</t>
  </si>
  <si>
    <t>Task: find cheapest first</t>
  </si>
  <si>
    <t>1. Ask user to sort by low price</t>
  </si>
  <si>
    <t>User completes task and recognizes reordered list</t>
  </si>
  <si>
    <t>Product Detail Test Cases</t>
  </si>
  <si>
    <t>Module Code: PD</t>
  </si>
  <si>
    <t>PD-0001</t>
  </si>
  <si>
    <t>Detail page shows product name</t>
  </si>
  <si>
    <t>Logged in; product detail open</t>
  </si>
  <si>
    <t>1. Inspect detail page</t>
  </si>
  <si>
    <t>Non-empty matching name is displayed</t>
  </si>
  <si>
    <t>PD-0002</t>
  </si>
  <si>
    <t>Detail page shows product description</t>
  </si>
  <si>
    <t>Description is displayed</t>
  </si>
  <si>
    <t>PD-0003</t>
  </si>
  <si>
    <t>Detail page shows product price</t>
  </si>
  <si>
    <t>Price is displayed in valid currency format</t>
  </si>
  <si>
    <t>PD-0004</t>
  </si>
  <si>
    <t>Detail page shows product image</t>
  </si>
  <si>
    <t>Image or meaningful fallback is displayed</t>
  </si>
  <si>
    <t>PD-0005</t>
  </si>
  <si>
    <t>Back to products action is visible</t>
  </si>
  <si>
    <t>Navigation back action is visible</t>
  </si>
  <si>
    <t>PD-0006</t>
  </si>
  <si>
    <t>Add to cart action is visible when product not selected</t>
  </si>
  <si>
    <t>Add action is available</t>
  </si>
  <si>
    <t>PD-0007</t>
  </si>
  <si>
    <t>Open detail page for Sauce Labs Backpack from listing</t>
  </si>
  <si>
    <t>Logged in; Products page loaded</t>
  </si>
  <si>
    <t>1. Click Sauce Labs Backpack name</t>
  </si>
  <si>
    <t>Matching detail page opens with same product identity</t>
  </si>
  <si>
    <t>PD-0008</t>
  </si>
  <si>
    <t>Sauce Labs Backpack detail data matches listing</t>
  </si>
  <si>
    <t>Matching detail page open</t>
  </si>
  <si>
    <t>1. Compare name, price, description with listing</t>
  </si>
  <si>
    <t>Detail values match listing values</t>
  </si>
  <si>
    <t>PD-0009</t>
  </si>
  <si>
    <t>Open detail page for Test.allTheThings() T-Shirt (Red) from listing</t>
  </si>
  <si>
    <t>Test.allTheThings() T-Shirt (Red)</t>
  </si>
  <si>
    <t>1. Click Test.allTheThings() T-Shirt (Red) name</t>
  </si>
  <si>
    <t>PD-0010</t>
  </si>
  <si>
    <t>Test.allTheThings() T-Shirt (Red) detail data matches listing</t>
  </si>
  <si>
    <t>PD-0011</t>
  </si>
  <si>
    <t>Add product from detail updates cart badge</t>
  </si>
  <si>
    <t>Product not in cart</t>
  </si>
  <si>
    <t>1. Click Add to cart</t>
  </si>
  <si>
    <t>Badge increments and action changes to Remove</t>
  </si>
  <si>
    <t>PD-0012</t>
  </si>
  <si>
    <t>Remove product from detail updates cart badge</t>
  </si>
  <si>
    <t>Product in cart</t>
  </si>
  <si>
    <t>1. Click Remove</t>
  </si>
  <si>
    <t>Badge decrements and action changes to Add to cart</t>
  </si>
  <si>
    <t>PD-0013</t>
  </si>
  <si>
    <t>Back to products returns to inventory</t>
  </si>
  <si>
    <t>Detail page open</t>
  </si>
  <si>
    <t>1. Click Back to products</t>
  </si>
  <si>
    <t>Products page opens</t>
  </si>
  <si>
    <t>PD-0014</t>
  </si>
  <si>
    <t>Direct invalid product detail URL is handled</t>
  </si>
  <si>
    <t>Invalid item ID/URL</t>
  </si>
  <si>
    <t>Clear not-found/rejection behavior occurs without crash</t>
  </si>
  <si>
    <t>PD-0015</t>
  </si>
  <si>
    <t>Detail page exposes product quantity selection when expected</t>
  </si>
  <si>
    <t>1. Inspect purchase controls</t>
  </si>
  <si>
    <t>A quantity control is available or absence is documented as a product limitation</t>
  </si>
  <si>
    <t>PD-0016</t>
  </si>
  <si>
    <t>User opens product detail from listing</t>
  </si>
  <si>
    <t>Ask user to inspect one product</t>
  </si>
  <si>
    <t>User reaches matching detail page</t>
  </si>
  <si>
    <t>Cart Test Cases</t>
  </si>
  <si>
    <t>Module Code: CT</t>
  </si>
  <si>
    <t>CT-0001</t>
  </si>
  <si>
    <t>Cart page heading is displayed</t>
  </si>
  <si>
    <t>Logged in; cart page open</t>
  </si>
  <si>
    <t>Cart with at least one item</t>
  </si>
  <si>
    <t>1. Inspect cart</t>
  </si>
  <si>
    <t>Your Cart heading is visible</t>
  </si>
  <si>
    <t>CT-0002</t>
  </si>
  <si>
    <t>Continue Shopping action is visible</t>
  </si>
  <si>
    <t>Continue Shopping control is available</t>
  </si>
  <si>
    <t>CT-0003</t>
  </si>
  <si>
    <t>Checkout action is visible</t>
  </si>
  <si>
    <t>Checkout control is available</t>
  </si>
  <si>
    <t>CT-0004</t>
  </si>
  <si>
    <t>Each cart item shows quantity</t>
  </si>
  <si>
    <t>Quantity is displayed</t>
  </si>
  <si>
    <t>CT-0005</t>
  </si>
  <si>
    <t>Each cart item shows name</t>
  </si>
  <si>
    <t>Product name is displayed</t>
  </si>
  <si>
    <t>CT-0006</t>
  </si>
  <si>
    <t>Each cart item shows description</t>
  </si>
  <si>
    <t>CT-0007</t>
  </si>
  <si>
    <t>Each cart item shows price</t>
  </si>
  <si>
    <t>Price is displayed</t>
  </si>
  <si>
    <t>CT-0008</t>
  </si>
  <si>
    <t>Each cart item shows Remove action</t>
  </si>
  <si>
    <t>Remove control is displayed</t>
  </si>
  <si>
    <t>CT-0009</t>
  </si>
  <si>
    <t>Add Sauce Labs Backpack then verify it appears in cart</t>
  </si>
  <si>
    <t>Logged in; item absent</t>
  </si>
  <si>
    <t>1. Add Sauce Labs Backpack
2. Open cart</t>
  </si>
  <si>
    <t>Sauce Labs Backpack appears with matching price/description</t>
  </si>
  <si>
    <t>CT-0010</t>
  </si>
  <si>
    <t>Remove Sauce Labs Backpack from cart</t>
  </si>
  <si>
    <t>Item present in cart</t>
  </si>
  <si>
    <t>1. Open cart
2. Click Remove for Sauce Labs Backpack</t>
  </si>
  <si>
    <t>Sauce Labs Backpack is removed and badge decrements</t>
  </si>
  <si>
    <t>CT-0011</t>
  </si>
  <si>
    <t>Open empty cart</t>
  </si>
  <si>
    <t>Logged in; no items</t>
  </si>
  <si>
    <t>1. Click cart icon</t>
  </si>
  <si>
    <t>Cart page opens without crash</t>
  </si>
  <si>
    <t>CT-0012</t>
  </si>
  <si>
    <t>Empty cart displays clear empty state</t>
  </si>
  <si>
    <t>1. Open cart</t>
  </si>
  <si>
    <t>User receives clear empty-cart indication or intentionally empty list state</t>
  </si>
  <si>
    <t>CT-0013</t>
  </si>
  <si>
    <t>Multiple distinct items appear once each</t>
  </si>
  <si>
    <t>3 distinct items added</t>
  </si>
  <si>
    <t>3 products</t>
  </si>
  <si>
    <t>All selected products appear once each</t>
  </si>
  <si>
    <t>CT-0014</t>
  </si>
  <si>
    <t>Cart badge equals number of distinct selected products</t>
  </si>
  <si>
    <t>3 items added</t>
  </si>
  <si>
    <t>1. Observe badge</t>
  </si>
  <si>
    <t>Badge shows 3</t>
  </si>
  <si>
    <t>CT-0015</t>
  </si>
  <si>
    <t>Continue Shopping returns to Products page</t>
  </si>
  <si>
    <t>Cart page open</t>
  </si>
  <si>
    <t>1. Click Continue Shopping</t>
  </si>
  <si>
    <t>CT-0016</t>
  </si>
  <si>
    <t>Cart contents persist when returning to Products</t>
  </si>
  <si>
    <t>Items in cart</t>
  </si>
  <si>
    <t>2 products</t>
  </si>
  <si>
    <t>1. Continue Shopping
2. Return to cart</t>
  </si>
  <si>
    <t>Items remain selected</t>
  </si>
  <si>
    <t>CT-0017</t>
  </si>
  <si>
    <t>Removing one of several items preserves others</t>
  </si>
  <si>
    <t>3 items in cart</t>
  </si>
  <si>
    <t>Remove 1</t>
  </si>
  <si>
    <t>1. Remove one item</t>
  </si>
  <si>
    <t>Only chosen item is removed</t>
  </si>
  <si>
    <t>CT-0018</t>
  </si>
  <si>
    <t>Checkout button works with non-empty cart</t>
  </si>
  <si>
    <t>At least 1 item</t>
  </si>
  <si>
    <t>1. Click Checkout</t>
  </si>
  <si>
    <t>Checkout information page opens</t>
  </si>
  <si>
    <t>CT-0019</t>
  </si>
  <si>
    <t>Checkout behavior with empty cart is controlled</t>
  </si>
  <si>
    <t>Cart empty</t>
  </si>
  <si>
    <t>System blocks meaningless checkout or handles it with a clearly defined policy</t>
  </si>
  <si>
    <t>CT-0020</t>
  </si>
  <si>
    <t>Cart supports quantity increase</t>
  </si>
  <si>
    <t>Item in cart</t>
  </si>
  <si>
    <t>quantity 2</t>
  </si>
  <si>
    <t>1. Inspect quantity controls
2. Increase quantity</t>
  </si>
  <si>
    <t>Quantity can be increased and totals/badge update</t>
  </si>
  <si>
    <t>CT-0021</t>
  </si>
  <si>
    <t>User reviews selected items in cart</t>
  </si>
  <si>
    <t>Representative user; relevant cart state</t>
  </si>
  <si>
    <t>Ask user to confirm two added items</t>
  </si>
  <si>
    <t>User identifies both items and prices</t>
  </si>
  <si>
    <t>CT-0022</t>
  </si>
  <si>
    <t>User removes one item from cart</t>
  </si>
  <si>
    <t>Ask user to remove chosen item</t>
  </si>
  <si>
    <t>Only intended item is removed</t>
  </si>
  <si>
    <t>Checkout Information Test Cases</t>
  </si>
  <si>
    <t>Module Code: CI</t>
  </si>
  <si>
    <t>CI-0001</t>
  </si>
  <si>
    <t>First Name field is visible</t>
  </si>
  <si>
    <t>Checkout information page open</t>
  </si>
  <si>
    <t>1. Inspect form</t>
  </si>
  <si>
    <t>CI-0002</t>
  </si>
  <si>
    <t>First Name field accepts input</t>
  </si>
  <si>
    <t>Valid first name</t>
  </si>
  <si>
    <t>1. Enter valid first name</t>
  </si>
  <si>
    <t>First Name accepts input</t>
  </si>
  <si>
    <t>CI-0003</t>
  </si>
  <si>
    <t>Reject missing First Name</t>
  </si>
  <si>
    <t>Other required fields valid; First Name empty</t>
  </si>
  <si>
    <t>1. Fill other fields
2. Leave target empty
3. Click Continue</t>
  </si>
  <si>
    <t>Checkout is blocked and First Name requirement is indicated</t>
  </si>
  <si>
    <t>CI-0004</t>
  </si>
  <si>
    <t>Last Name field is visible</t>
  </si>
  <si>
    <t>CI-0005</t>
  </si>
  <si>
    <t>Last Name field accepts input</t>
  </si>
  <si>
    <t>Valid last name</t>
  </si>
  <si>
    <t>1. Enter valid last name</t>
  </si>
  <si>
    <t>Last Name accepts input</t>
  </si>
  <si>
    <t>CI-0006</t>
  </si>
  <si>
    <t>Reject missing Last Name</t>
  </si>
  <si>
    <t>Other required fields valid; Last Name empty</t>
  </si>
  <si>
    <t>Checkout is blocked and Last Name requirement is indicated</t>
  </si>
  <si>
    <t>CI-0007</t>
  </si>
  <si>
    <t>Postal Code field is visible</t>
  </si>
  <si>
    <t>CI-0008</t>
  </si>
  <si>
    <t>Postal Code field accepts input</t>
  </si>
  <si>
    <t>Valid postal code</t>
  </si>
  <si>
    <t>1. Enter valid postal code</t>
  </si>
  <si>
    <t>Postal Code accepts input</t>
  </si>
  <si>
    <t>CI-0009</t>
  </si>
  <si>
    <t>Reject missing Postal Code</t>
  </si>
  <si>
    <t>Other required fields valid; Postal Code empty</t>
  </si>
  <si>
    <t>Checkout is blocked and Postal Code requirement is indicated</t>
  </si>
  <si>
    <t>CI-0010</t>
  </si>
  <si>
    <t>Continue button is visible</t>
  </si>
  <si>
    <t>Continue action is visible</t>
  </si>
  <si>
    <t>CI-0011</t>
  </si>
  <si>
    <t>Cancel button is visible</t>
  </si>
  <si>
    <t>Cancel action is visible</t>
  </si>
  <si>
    <t>CI-0012</t>
  </si>
  <si>
    <t>Checkout information: All fields empty</t>
  </si>
  <si>
    <t>Cart has at least one item; checkout info open</t>
  </si>
  <si>
    <t>first=''; last=''; postal=''</t>
  </si>
  <si>
    <t>1. Enter values
2. Click Continue</t>
  </si>
  <si>
    <t>First Name requirement is indicated first or all missing fields are clearly identified</t>
  </si>
  <si>
    <t>CI-0013</t>
  </si>
  <si>
    <t>Checkout information: First and last name filled; postal empty</t>
  </si>
  <si>
    <t>first='John'; last='Doe'; postal=''</t>
  </si>
  <si>
    <t>Postal Code requirement is indicated</t>
  </si>
  <si>
    <t>CI-0014</t>
  </si>
  <si>
    <t>Checkout information: First and postal filled; last empty</t>
  </si>
  <si>
    <t>first='John'; last=''; postal='1000'</t>
  </si>
  <si>
    <t>Last Name requirement is indicated</t>
  </si>
  <si>
    <t>CI-0015</t>
  </si>
  <si>
    <t>Checkout information: Last and postal filled; first empty</t>
  </si>
  <si>
    <t>first=''; last='Doe'; postal='1000'</t>
  </si>
  <si>
    <t>First Name requirement is indicated</t>
  </si>
  <si>
    <t>CI-0016</t>
  </si>
  <si>
    <t>Checkout information: All fields valid</t>
  </si>
  <si>
    <t>first='John'; last='Doe'; postal='1000'</t>
  </si>
  <si>
    <t>User advances to Checkout Overview</t>
  </si>
  <si>
    <t>CI-0017</t>
  </si>
  <si>
    <t>First Name handles whitespace only input</t>
  </si>
  <si>
    <t xml:space="preserve">First Name=   </t>
  </si>
  <si>
    <t>1. Enter test value in First Name
2. Fill other fields valid
3. Continue</t>
  </si>
  <si>
    <t>Input is validated according to a defined policy; invalid data is rejected with clear feedback and page does not break</t>
  </si>
  <si>
    <t>CI-0018</t>
  </si>
  <si>
    <t>First Name handles very long input</t>
  </si>
  <si>
    <t>First Name=AAAAAAAAAAAAAAAAAAAAAAAAAAAAAAAAAAAAAAAAAAAAAAAAAAAAAAAAAAAAAAAAAAAAAAAAAAAAAAAAAAAAAAAAAAAAAAAAAAAAAAAAAAAAAAAAAAAAAAAAAAAAAAAAAAAAAAAAAAAAAAAAAAAAAAAAAAAAAAAAAAAAAAAAAAAAAAAAAAAAAAAAAAAAAAAAAAAAAAAAAAAAAAAAAAAAAAAAAAAAAAAAAAAAAAAAAAAAAAAAAAAAAAAAAAAAAAAA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</si>
  <si>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CI-0019</t>
  </si>
  <si>
    <t>Last Name handles apostrophe input</t>
  </si>
  <si>
    <t>Last Name=O'Neil</t>
  </si>
  <si>
    <t>1. Enter test value in Last Name
2. Fill other fields valid
3. Continue</t>
  </si>
  <si>
    <t>CI-0020</t>
  </si>
  <si>
    <t>Postal Code handles whitespace only input</t>
  </si>
  <si>
    <t xml:space="preserve">Postal Code=   </t>
  </si>
  <si>
    <t>1. Enter test value in Postal Code
2. Fill other fields valid
3. Continue</t>
  </si>
  <si>
    <t>CI-0021</t>
  </si>
  <si>
    <t>Postal Code handles alphabetic input</t>
  </si>
  <si>
    <t>Postal Code=ABC</t>
  </si>
  <si>
    <t>CI-0022</t>
  </si>
  <si>
    <t>Postal Code handles very long input</t>
  </si>
  <si>
    <t>Postal Code=9999999999999999999999999999999999999999999999999999999999999999999999999999999999999999999999999999999999999999999999999999999999999999999999999999999999999999999999999999999999999999999999999999999999999999999999999999999999999999999999999999999999999999</t>
  </si>
  <si>
    <t>CI-0023</t>
  </si>
  <si>
    <t>Postal Code maximum length is enforced</t>
  </si>
  <si>
    <t>Checkout information page open; other fields valid</t>
  </si>
  <si>
    <t>256 characters</t>
  </si>
  <si>
    <t>1. Enter test data
2. Click Continue</t>
  </si>
  <si>
    <t>Field constrains input to a defined maximum</t>
  </si>
  <si>
    <t>CI-0024</t>
  </si>
  <si>
    <t>Postal Code format validation is enforced</t>
  </si>
  <si>
    <t>ABC</t>
  </si>
  <si>
    <t>Clearly invalid postal data is rejected under documented locale policy</t>
  </si>
  <si>
    <t>CI-0025</t>
  </si>
  <si>
    <t>Cancel returns to cart</t>
  </si>
  <si>
    <t>1. Click Cancel</t>
  </si>
  <si>
    <t>Cart page opens with items preserved</t>
  </si>
  <si>
    <t>CI-0026</t>
  </si>
  <si>
    <t>Valid information advances to overview</t>
  </si>
  <si>
    <t>Cart has item</t>
  </si>
  <si>
    <t>John / Doe / 1000</t>
  </si>
  <si>
    <t>1. Fill all fields
2. Continue</t>
  </si>
  <si>
    <t>Checkout Overview opens</t>
  </si>
  <si>
    <t>CI-0027</t>
  </si>
  <si>
    <t>User understands required checkout fields</t>
  </si>
  <si>
    <t>Representative user at checkout information</t>
  </si>
  <si>
    <t>Ask user to proceed with one field missing</t>
  </si>
  <si>
    <t>User understands validation feedback</t>
  </si>
  <si>
    <t>Checkout Overview Test Cases</t>
  </si>
  <si>
    <t>Module Code: CO</t>
  </si>
  <si>
    <t>CO-0001</t>
  </si>
  <si>
    <t>Overview heading is displayed</t>
  </si>
  <si>
    <t>Reached Checkout Overview with at least one item</t>
  </si>
  <si>
    <t>1. Inspect overview</t>
  </si>
  <si>
    <t>Checkout: Overview heading is visible</t>
  </si>
  <si>
    <t>CO-0002</t>
  </si>
  <si>
    <t>Each selected item is displayed</t>
  </si>
  <si>
    <t>Selected items appear</t>
  </si>
  <si>
    <t>CO-0003</t>
  </si>
  <si>
    <t>Each selected item shows name</t>
  </si>
  <si>
    <t>Name is visible</t>
  </si>
  <si>
    <t>CO-0004</t>
  </si>
  <si>
    <t>Each selected item shows description</t>
  </si>
  <si>
    <t>Description is visible</t>
  </si>
  <si>
    <t>CO-0005</t>
  </si>
  <si>
    <t>Each selected item shows price</t>
  </si>
  <si>
    <t>Price is visible</t>
  </si>
  <si>
    <t>CO-0006</t>
  </si>
  <si>
    <t>Payment Information section is displayed</t>
  </si>
  <si>
    <t>Payment information is visible</t>
  </si>
  <si>
    <t>CO-0007</t>
  </si>
  <si>
    <t>Shipping Information section is displayed</t>
  </si>
  <si>
    <t>Shipping information is visible</t>
  </si>
  <si>
    <t>CO-0008</t>
  </si>
  <si>
    <t>Price Total section is displayed</t>
  </si>
  <si>
    <t>Price total section is visible</t>
  </si>
  <si>
    <t>CO-0009</t>
  </si>
  <si>
    <t>Finish button is visible</t>
  </si>
  <si>
    <t>Finish action is visible</t>
  </si>
  <si>
    <t>CO-0010</t>
  </si>
  <si>
    <t>CO-0011</t>
  </si>
  <si>
    <t>Item total equals sum of listed item prices</t>
  </si>
  <si>
    <t>Overview open</t>
  </si>
  <si>
    <t>Known cart prices</t>
  </si>
  <si>
    <t>1. Sum item prices
2. Compare item total</t>
  </si>
  <si>
    <t>Displayed item total equals sum of item prices</t>
  </si>
  <si>
    <t>CO-0012</t>
  </si>
  <si>
    <t>Displayed total is mathematically consistent</t>
  </si>
  <si>
    <t>item total + tax</t>
  </si>
  <si>
    <t>1. Read item total
2. Read tax
3. Calculate sum
4. Compare total</t>
  </si>
  <si>
    <t>Displayed total equals item total plus tax</t>
  </si>
  <si>
    <t>CO-0013</t>
  </si>
  <si>
    <t>Single-item overview matches cart</t>
  </si>
  <si>
    <t>One item checked out</t>
  </si>
  <si>
    <t>Known item</t>
  </si>
  <si>
    <t>1. Compare cart and overview</t>
  </si>
  <si>
    <t>Same item, quantity, and price are shown</t>
  </si>
  <si>
    <t>CO-0014</t>
  </si>
  <si>
    <t>Multiple-item overview matches cart</t>
  </si>
  <si>
    <t>Three items checked out</t>
  </si>
  <si>
    <t>3 items</t>
  </si>
  <si>
    <t>All items are represented exactly once</t>
  </si>
  <si>
    <t>CO-0015</t>
  </si>
  <si>
    <t>Finish completes order</t>
  </si>
  <si>
    <t>1. Click Finish</t>
  </si>
  <si>
    <t>Order Completion page opens</t>
  </si>
  <si>
    <t>CO-0016</t>
  </si>
  <si>
    <t>User verifies items before purchase</t>
  </si>
  <si>
    <t>Representative user at overview</t>
  </si>
  <si>
    <t>Ask user to confirm cart contents on overview</t>
  </si>
  <si>
    <t>User identifies all items and prices</t>
  </si>
  <si>
    <t>CO-0017</t>
  </si>
  <si>
    <t>User identifies final total</t>
  </si>
  <si>
    <t>Ask user for amount to be charged</t>
  </si>
  <si>
    <t>User locates total</t>
  </si>
  <si>
    <t>Order Completion Test Cases</t>
  </si>
  <si>
    <t>Module Code: OC</t>
  </si>
  <si>
    <t>OC-0001</t>
  </si>
  <si>
    <t>Completion heading is displayed</t>
  </si>
  <si>
    <t>Order completed</t>
  </si>
  <si>
    <t>1. Inspect completion page</t>
  </si>
  <si>
    <t>Checkout Complete heading is visible</t>
  </si>
  <si>
    <t>OC-0002</t>
  </si>
  <si>
    <t>Success message is displayed</t>
  </si>
  <si>
    <t>Order success confirmation is visible</t>
  </si>
  <si>
    <t>OC-0003</t>
  </si>
  <si>
    <t>Back Home button is visible</t>
  </si>
  <si>
    <t>Back Home action is visible</t>
  </si>
  <si>
    <t>OC-0004</t>
  </si>
  <si>
    <t>Finish navigates to completion page</t>
  </si>
  <si>
    <t>Checkout Overview open</t>
  </si>
  <si>
    <t>Completion page opens</t>
  </si>
  <si>
    <t>OC-0005</t>
  </si>
  <si>
    <t>Back Home returns to Products page</t>
  </si>
  <si>
    <t>Completion page open</t>
  </si>
  <si>
    <t>1. Click Back Home</t>
  </si>
  <si>
    <t>OC-0006</t>
  </si>
  <si>
    <t>Purchased cart badge is cleared after completion</t>
  </si>
  <si>
    <t>Previously selected items</t>
  </si>
  <si>
    <t>1. Observe header/cart</t>
  </si>
  <si>
    <t>Cart badge reflects empty completed state</t>
  </si>
  <si>
    <t>OC-0007</t>
  </si>
  <si>
    <t>Purchased items are not left in cart after completion</t>
  </si>
  <si>
    <t>Completed-order items are not unexpectedly retained</t>
  </si>
  <si>
    <t>OC-0008</t>
  </si>
  <si>
    <t>Refresh completion page does not create another order event</t>
  </si>
  <si>
    <t>1. Refresh</t>
  </si>
  <si>
    <t>No duplicate checkout side effect is created</t>
  </si>
  <si>
    <t>OC-0009</t>
  </si>
  <si>
    <t>User recognizes successful order completion</t>
  </si>
  <si>
    <t>Representative user; completed order</t>
  </si>
  <si>
    <t>Show completion page</t>
  </si>
  <si>
    <t>User understands order flow completed</t>
  </si>
  <si>
    <t>Menu &amp; Navigation Test Cases</t>
  </si>
  <si>
    <t>Module Code: MN</t>
  </si>
  <si>
    <t>MN-0001</t>
  </si>
  <si>
    <t>Burger menu button is visible</t>
  </si>
  <si>
    <t>Menu control is visible</t>
  </si>
  <si>
    <t>MN-0002</t>
  </si>
  <si>
    <t>Burger menu opens</t>
  </si>
  <si>
    <t>1. Click menu</t>
  </si>
  <si>
    <t>Side menu opens</t>
  </si>
  <si>
    <t>MN-0003</t>
  </si>
  <si>
    <t>Close menu control is visible when menu open</t>
  </si>
  <si>
    <t>Menu open</t>
  </si>
  <si>
    <t>1. Inspect menu</t>
  </si>
  <si>
    <t>Close action is visible</t>
  </si>
  <si>
    <t>MN-0004</t>
  </si>
  <si>
    <t>Close menu control closes menu</t>
  </si>
  <si>
    <t>1. Click close</t>
  </si>
  <si>
    <t>Menu closes</t>
  </si>
  <si>
    <t>MN-0005</t>
  </si>
  <si>
    <t>All Items menu item is available</t>
  </si>
  <si>
    <t>All Items option is visible</t>
  </si>
  <si>
    <t>MN-0006</t>
  </si>
  <si>
    <t>All Items menu action works</t>
  </si>
  <si>
    <t>1. Click All Items</t>
  </si>
  <si>
    <t>Returns/navigates to Products inventory</t>
  </si>
  <si>
    <t>MN-0007</t>
  </si>
  <si>
    <t>About menu item is available</t>
  </si>
  <si>
    <t>About option is visible</t>
  </si>
  <si>
    <t>MN-0008</t>
  </si>
  <si>
    <t>About menu action works</t>
  </si>
  <si>
    <t>1. Click About</t>
  </si>
  <si>
    <t>Navigates to intended Sauce Labs external page</t>
  </si>
  <si>
    <t>MN-0009</t>
  </si>
  <si>
    <t>Logout menu item is available</t>
  </si>
  <si>
    <t>MN-0010</t>
  </si>
  <si>
    <t>Logout menu action works</t>
  </si>
  <si>
    <t>1. Click Logout</t>
  </si>
  <si>
    <t>Ends authenticated session and returns to login</t>
  </si>
  <si>
    <t>MN-0011</t>
  </si>
  <si>
    <t>Reset App State menu action works</t>
  </si>
  <si>
    <t>1. Click Reset App State</t>
  </si>
  <si>
    <t>Resets application state according to current demo behavior</t>
  </si>
  <si>
    <t>MN-0012</t>
  </si>
  <si>
    <t>User finds logout from menu</t>
  </si>
  <si>
    <t>Representative logged-in user</t>
  </si>
  <si>
    <t>Ask user to log out</t>
  </si>
  <si>
    <t>User finds menu then Logout</t>
  </si>
  <si>
    <t>Reset App State Test Cases</t>
  </si>
  <si>
    <t>Module Code: RS</t>
  </si>
  <si>
    <t>RS-0001</t>
  </si>
  <si>
    <t>Reset App State option is visible</t>
  </si>
  <si>
    <t>Logged in; menu open</t>
  </si>
  <si>
    <t>RS-0002</t>
  </si>
  <si>
    <t>Reset clears cart badge</t>
  </si>
  <si>
    <t>1. Open menu
2. Click Reset App State</t>
  </si>
  <si>
    <t>Cart badge clears</t>
  </si>
  <si>
    <t>RS-0003</t>
  </si>
  <si>
    <t>Reset clears cart contents</t>
  </si>
  <si>
    <t>1. Reset
2. Open cart</t>
  </si>
  <si>
    <t>Cart is empty</t>
  </si>
  <si>
    <t>RS-0004</t>
  </si>
  <si>
    <t>Reset changes Remove buttons back to Add to cart</t>
  </si>
  <si>
    <t>Items selected</t>
  </si>
  <si>
    <t>1. Reset
2. Inspect Products page</t>
  </si>
  <si>
    <t>Selected product controls return to Add to cart</t>
  </si>
  <si>
    <t>RS-0005</t>
  </si>
  <si>
    <t>Reset can be invoked repeatedly without error</t>
  </si>
  <si>
    <t>1. Reset twice</t>
  </si>
  <si>
    <t>No crash; state remains clean</t>
  </si>
  <si>
    <t>RS-0006</t>
  </si>
  <si>
    <t>Reset does not log user out</t>
  </si>
  <si>
    <t>1. Reset</t>
  </si>
  <si>
    <t>User remains authenticated</t>
  </si>
  <si>
    <t>RS-0007</t>
  </si>
  <si>
    <t>Reset effect persists across navigation</t>
  </si>
  <si>
    <t>State reset</t>
  </si>
  <si>
    <t>1. Navigate Products -&gt; Cart</t>
  </si>
  <si>
    <t>Clean state remains</t>
  </si>
  <si>
    <t>RS-0008</t>
  </si>
  <si>
    <t>User understands Reset App State effect</t>
  </si>
  <si>
    <t>Representative user with items in cart</t>
  </si>
  <si>
    <t>Task: reset app</t>
  </si>
  <si>
    <t>1. Ask user to use reset
2. Observe resulting understanding</t>
  </si>
  <si>
    <t>User recognizes application selections were cleared</t>
  </si>
  <si>
    <t>Access &amp; Session Control Test Cases</t>
  </si>
  <si>
    <t>Module Code: AC</t>
  </si>
  <si>
    <t>AC-0001</t>
  </si>
  <si>
    <t>Unauthenticated access to /inventory.html is blocked</t>
  </si>
  <si>
    <t>Logged out</t>
  </si>
  <si>
    <t>1. Navigate directly to /inventory.html</t>
  </si>
  <si>
    <t>Protected content is not usable; user is redirected or shown authentication error</t>
  </si>
  <si>
    <t>AC-0002</t>
  </si>
  <si>
    <t>Unauthenticated access to /cart.html is blocked</t>
  </si>
  <si>
    <t>/cart.html</t>
  </si>
  <si>
    <t>1. Navigate directly to /cart.html</t>
  </si>
  <si>
    <t>AC-0003</t>
  </si>
  <si>
    <t>Unauthenticated access to /checkout-step-one.html is blocked</t>
  </si>
  <si>
    <t>/checkout-step-one.html</t>
  </si>
  <si>
    <t>1. Navigate directly to /checkout-step-one.html</t>
  </si>
  <si>
    <t>AC-0004</t>
  </si>
  <si>
    <t>Unauthenticated access to /checkout-step-two.html is blocked</t>
  </si>
  <si>
    <t>/checkout-step-two.html</t>
  </si>
  <si>
    <t>1. Navigate directly to /checkout-step-two.html</t>
  </si>
  <si>
    <t>AC-0005</t>
  </si>
  <si>
    <t>Unauthenticated access to /checkout-complete.html is blocked</t>
  </si>
  <si>
    <t>/checkout-complete.html</t>
  </si>
  <si>
    <t>1. Navigate directly to /checkout-complete.html</t>
  </si>
  <si>
    <t>AC-0006</t>
  </si>
  <si>
    <t>Post-logout access to /inventory.html is blocked</t>
  </si>
  <si>
    <t>Login then logout</t>
  </si>
  <si>
    <t>1. Logout
2. Navigate directly to /inventory.html</t>
  </si>
  <si>
    <t>Protected content is not restored without login</t>
  </si>
  <si>
    <t>AC-0007</t>
  </si>
  <si>
    <t>Post-logout access to /cart.html is blocked</t>
  </si>
  <si>
    <t>1. Logout
2. Navigate directly to /cart.html</t>
  </si>
  <si>
    <t>AC-0008</t>
  </si>
  <si>
    <t>Authenticated refresh preserves valid session during active use</t>
  </si>
  <si>
    <t>1. Refresh inventory</t>
  </si>
  <si>
    <t>User remains authenticated according to current session policy</t>
  </si>
  <si>
    <t>AC-0009</t>
  </si>
  <si>
    <t>Opening second tab follows same-session policy consistently</t>
  </si>
  <si>
    <t>Second tab</t>
  </si>
  <si>
    <t>1. Open protected page in second tab</t>
  </si>
  <si>
    <t>Session behavior is consistent and no data leakage occurs</t>
  </si>
  <si>
    <t>AC-0010</t>
  </si>
  <si>
    <t>Logout invalidates current session token/state</t>
  </si>
  <si>
    <t>1. Logout
2. Reuse prior page/session</t>
  </si>
  <si>
    <t>Authenticated operations are not accepted</t>
  </si>
  <si>
    <t>AC-0011</t>
  </si>
  <si>
    <t>Idle session timeout is enforced</t>
  </si>
  <si>
    <t>Logged in and idle</t>
  </si>
  <si>
    <t>Wait policy duration</t>
  </si>
  <si>
    <t>1. Leave session idle</t>
  </si>
  <si>
    <t>Session expires after defined inactivity policy and requires re-login</t>
  </si>
  <si>
    <t>AC-0012</t>
  </si>
  <si>
    <t>Sensitive authenticated pages discourage browser caching after logout</t>
  </si>
  <si>
    <t>1. Use Back/Forward cache</t>
  </si>
  <si>
    <t>Protected content is not exposed as usable private state</t>
  </si>
  <si>
    <t>Footer &amp; External Links Test Cases</t>
  </si>
  <si>
    <t>Module Code: FT</t>
  </si>
  <si>
    <t>FT-0001</t>
  </si>
  <si>
    <t>Twitter footer link is visible when present</t>
  </si>
  <si>
    <t>1. Inspect footer</t>
  </si>
  <si>
    <t>Twitter link/icon is visible or absence is recorded</t>
  </si>
  <si>
    <t>FT-0002</t>
  </si>
  <si>
    <t>Twitter footer link opens intended destination</t>
  </si>
  <si>
    <t>Footer link present</t>
  </si>
  <si>
    <t>1. Click Twitter link</t>
  </si>
  <si>
    <t>Intended Twitter destination opens without breaking current app state</t>
  </si>
  <si>
    <t>FT-0003</t>
  </si>
  <si>
    <t>Facebook footer link is visible when present</t>
  </si>
  <si>
    <t>Facebook link/icon is visible or absence is recorded</t>
  </si>
  <si>
    <t>FT-0004</t>
  </si>
  <si>
    <t>Facebook footer link opens intended destination</t>
  </si>
  <si>
    <t>1. Click Facebook link</t>
  </si>
  <si>
    <t>Intended Facebook destination opens without breaking current app state</t>
  </si>
  <si>
    <t>FT-0005</t>
  </si>
  <si>
    <t>LinkedIn footer link is visible when present</t>
  </si>
  <si>
    <t>LinkedIn link/icon is visible or absence is recorded</t>
  </si>
  <si>
    <t>FT-0006</t>
  </si>
  <si>
    <t>LinkedIn footer link opens intended destination</t>
  </si>
  <si>
    <t>1. Click LinkedIn link</t>
  </si>
  <si>
    <t>Intended LinkedIn destination opens without breaking current app state</t>
  </si>
  <si>
    <t>FT-0007</t>
  </si>
  <si>
    <t>Footer copyright text is visible</t>
  </si>
  <si>
    <t>Copyright text is readable</t>
  </si>
  <si>
    <t>Interface / Responsive Test Cases</t>
  </si>
  <si>
    <t>Module Code: UX</t>
  </si>
  <si>
    <t>UX-0001</t>
  </si>
  <si>
    <t>Login page remains usable at desktop width</t>
  </si>
  <si>
    <t>Relevant page/state available</t>
  </si>
  <si>
    <t>Chrome/Edge/Firefox/Opera representative viewport</t>
  </si>
  <si>
    <t>1. Open target page
2. Resize/zoom/navigate as relevant</t>
  </si>
  <si>
    <t>Login controls are visible and aligned</t>
  </si>
  <si>
    <t>Representative Cross-Browser</t>
  </si>
  <si>
    <t>UX-0002</t>
  </si>
  <si>
    <t>Login page remains usable at narrow mobile width</t>
  </si>
  <si>
    <t>Inputs/button stay within viewport</t>
  </si>
  <si>
    <t>UX-0003</t>
  </si>
  <si>
    <t>Products grid reflows without horizontal page overflow</t>
  </si>
  <si>
    <t>Cards remain readable</t>
  </si>
  <si>
    <t>UX-0004</t>
  </si>
  <si>
    <t>Product card long text stays contained</t>
  </si>
  <si>
    <t>Text does not overlap controls</t>
  </si>
  <si>
    <t>UX-0005</t>
  </si>
  <si>
    <t>Cart layout remains usable on mobile</t>
  </si>
  <si>
    <t>Items/actions remain accessible</t>
  </si>
  <si>
    <t>UX-0006</t>
  </si>
  <si>
    <t>Checkout information form remains usable on mobile</t>
  </si>
  <si>
    <t>Fields/buttons fit viewport</t>
  </si>
  <si>
    <t>UX-0007</t>
  </si>
  <si>
    <t>Checkout overview remains readable on mobile</t>
  </si>
  <si>
    <t>Totals and items remain contained</t>
  </si>
  <si>
    <t>UX-0008</t>
  </si>
  <si>
    <t>Side menu remains operable on mobile</t>
  </si>
  <si>
    <t>Menu items are reachable</t>
  </si>
  <si>
    <t>UX-0009</t>
  </si>
  <si>
    <t>Keyboard focus is visible on interactive controls</t>
  </si>
  <si>
    <t>Focused controls have visible indication</t>
  </si>
  <si>
    <t>UX-0010</t>
  </si>
  <si>
    <t>Buttons do not overlap at 200% browser zoom</t>
  </si>
  <si>
    <t>Core actions remain usable</t>
  </si>
  <si>
    <t>UX-0011</t>
  </si>
  <si>
    <t>Page supports narrow mobile viewport</t>
  </si>
  <si>
    <t>No horizontal overflow at ~375px</t>
  </si>
  <si>
    <t>UX-0012</t>
  </si>
  <si>
    <t>Error messages are understandable</t>
  </si>
  <si>
    <t>Messages describe problem without raw stack traces</t>
  </si>
  <si>
    <t>UX-0013</t>
  </si>
  <si>
    <t>Loading delay for performance_glitch_user gives usable feedback</t>
  </si>
  <si>
    <t>User is not left with indefinite unexplained freeze</t>
  </si>
  <si>
    <t>UX-0014</t>
  </si>
  <si>
    <t>Visual_user discrepancies are captured against standard_user</t>
  </si>
  <si>
    <t>Visual defects are documented precisely</t>
  </si>
  <si>
    <t>UX-0015</t>
  </si>
  <si>
    <t>Login inputs have accessible names</t>
  </si>
  <si>
    <t>Relevant page open</t>
  </si>
  <si>
    <t>Accessibility inspection</t>
  </si>
  <si>
    <t>1. Inspect accessibility tree</t>
  </si>
  <si>
    <t>Screen reader can identify username/password</t>
  </si>
  <si>
    <t>UX-0016</t>
  </si>
  <si>
    <t>User completes purchase flow on desktop without assistance</t>
  </si>
  <si>
    <t>Representative user; relevant viewport</t>
  </si>
  <si>
    <t>Normal purchase task</t>
  </si>
  <si>
    <t>User completes with no blocking confusion</t>
  </si>
  <si>
    <t>Core Workflows Test Cases</t>
  </si>
  <si>
    <t>Module Code: CW</t>
  </si>
  <si>
    <t>CW-0001</t>
  </si>
  <si>
    <t>Successful standard purchase flow</t>
  </si>
  <si>
    <t>Site available; use standard_user</t>
  </si>
  <si>
    <t>1. Login
2. Add one product
3. Open cart
4. Checkout
5. Enter valid info
6. Continue
7. Finish</t>
  </si>
  <si>
    <t>User reaches order completion page</t>
  </si>
  <si>
    <t>CW-0002</t>
  </si>
  <si>
    <t>Multi-item purchase flow</t>
  </si>
  <si>
    <t>1. Login
2. Add three products
3. Open cart
4. Checkout
5. Enter valid info
6. Finish</t>
  </si>
  <si>
    <t>All selected items appear in overview and order completes</t>
  </si>
  <si>
    <t>CW-0003</t>
  </si>
  <si>
    <t>Add then remove before checkout</t>
  </si>
  <si>
    <t>1. Login
2. Add two products
3. Remove one
4. Checkout remaining item</t>
  </si>
  <si>
    <t>Only remaining item is purchased</t>
  </si>
  <si>
    <t>CW-0004</t>
  </si>
  <si>
    <t>Product detail to cart to checkout</t>
  </si>
  <si>
    <t>1. Login
2. Open detail
3. Add item
4. Cart
5. Checkout
6. Finish</t>
  </si>
  <si>
    <t>Flow completes with selected product</t>
  </si>
  <si>
    <t>CW-0005</t>
  </si>
  <si>
    <t>Cancel checkout information and continue shopping</t>
  </si>
  <si>
    <t>1. Add item
2. Checkout
3. Cancel
4. Continue shopping</t>
  </si>
  <si>
    <t>User returns to shopping with cart state preserved</t>
  </si>
  <si>
    <t>CW-0006</t>
  </si>
  <si>
    <t>Cancel checkout overview then return to cart</t>
  </si>
  <si>
    <t>1. Reach overview
2. Cancel
3. Open cart</t>
  </si>
  <si>
    <t>Navigation is consistent and cart state follows defined policy</t>
  </si>
  <si>
    <t>CW-0007</t>
  </si>
  <si>
    <t>Sort then add cheapest product</t>
  </si>
  <si>
    <t>1. Sort low to high
2. Add first item
3. Open cart</t>
  </si>
  <si>
    <t>Cart contains selected cheapest item</t>
  </si>
  <si>
    <t>CW-0008</t>
  </si>
  <si>
    <t>Login success loads product listing</t>
  </si>
  <si>
    <t>Login + Inventory</t>
  </si>
  <si>
    <t>Valid credentials</t>
  </si>
  <si>
    <t>1. Login</t>
  </si>
  <si>
    <t>Inventory module becomes available</t>
  </si>
  <si>
    <t>CW-0009</t>
  </si>
  <si>
    <t>Add from listing updates cart module</t>
  </si>
  <si>
    <t>Inventory + Cart</t>
  </si>
  <si>
    <t>One product</t>
  </si>
  <si>
    <t>1. Add item
2. Open cart</t>
  </si>
  <si>
    <t>Same item appears in cart</t>
  </si>
  <si>
    <t>CW-0010</t>
  </si>
  <si>
    <t>Cart checkout passes item state to checkout info</t>
  </si>
  <si>
    <t>Cart + Checkout Information</t>
  </si>
  <si>
    <t>Checkout info opens with cart state preserved</t>
  </si>
  <si>
    <t>CW-0011</t>
  </si>
  <si>
    <t>Checkout info passes item state to overview</t>
  </si>
  <si>
    <t>Checkout Information + Overview</t>
  </si>
  <si>
    <t>Valid customer fields</t>
  </si>
  <si>
    <t>1. Continue</t>
  </si>
  <si>
    <t>Overview includes same items</t>
  </si>
  <si>
    <t>CW-0012</t>
  </si>
  <si>
    <t>Overview finish passes to completion</t>
  </si>
  <si>
    <t>Overview + Completion</t>
  </si>
  <si>
    <t>Valid order state</t>
  </si>
  <si>
    <t>1. Finish</t>
  </si>
  <si>
    <t>CW-0013</t>
  </si>
  <si>
    <t>Menu logout invalidates protected navigation</t>
  </si>
  <si>
    <t>Menu + Session</t>
  </si>
  <si>
    <t>1. Logout
2. Open protected URL</t>
  </si>
  <si>
    <t>Access is blocked</t>
  </si>
  <si>
    <t>CW-0014</t>
  </si>
  <si>
    <t>User completes first-time purchase without coaching</t>
  </si>
  <si>
    <t>Representative user; standard_user account</t>
  </si>
  <si>
    <t>Buy one item and finish checkout</t>
  </si>
  <si>
    <t>1. Give task only
2. Observe
3. Record hesitation</t>
  </si>
  <si>
    <t>User completes critical flow with no blocking confusion</t>
  </si>
  <si>
    <t>CW-0015</t>
  </si>
  <si>
    <t>User cancels checkout and returns safely</t>
  </si>
  <si>
    <t>Begin checkout then cancel</t>
  </si>
  <si>
    <t>User understands resulting navigation</t>
  </si>
  <si>
    <t>Test Execution Log</t>
  </si>
  <si>
    <t>Record only actual executions. Use one row per Case ID + Test User + Browser combination that was genuinely executed; do not pre-generate every possible combination.</t>
  </si>
  <si>
    <t>Execution ID</t>
  </si>
  <si>
    <t>Test User</t>
  </si>
  <si>
    <t>Browser</t>
  </si>
  <si>
    <t>Actual Result</t>
  </si>
  <si>
    <t>Status</t>
  </si>
  <si>
    <t>Related Defect ID</t>
  </si>
  <si>
    <t>Tester</t>
  </si>
  <si>
    <t>Execution Date</t>
  </si>
  <si>
    <t>SauceDemo Defect Summary</t>
  </si>
  <si>
    <t>Defect Metrics</t>
  </si>
  <si>
    <t>Log only observed and reproducible defects. A planned negative test or absent standard feature is not automatically a defect until execution confirms a reproducible mismatch.</t>
  </si>
  <si>
    <t>Total Logged</t>
  </si>
  <si>
    <t>Open</t>
  </si>
  <si>
    <t>Defect ID</t>
  </si>
  <si>
    <t>Title</t>
  </si>
  <si>
    <t>Related Test Case ID</t>
  </si>
  <si>
    <t>Severity</t>
  </si>
  <si>
    <t>Steps / Evidence</t>
  </si>
  <si>
    <t>In Progress</t>
  </si>
  <si>
    <t>Resolved</t>
  </si>
  <si>
    <t>Closed</t>
  </si>
  <si>
    <t>Critical</t>
  </si>
  <si>
    <t>High</t>
  </si>
  <si>
    <t>Medium</t>
  </si>
  <si>
    <t>SauceDemo Test Case Summary</t>
  </si>
  <si>
    <t>Specification counts come from module sheets. Execution counts come only from actual rows in Test Execution Log; one case may have multiple executions under different users or browsers.</t>
  </si>
  <si>
    <t>Code</t>
  </si>
  <si>
    <t>Total Cases</t>
  </si>
  <si>
    <t>Standard Expectations</t>
  </si>
  <si>
    <t>Total Executions</t>
  </si>
  <si>
    <t>Passed Exec.</t>
  </si>
  <si>
    <t>Failed Exec.</t>
  </si>
  <si>
    <t>Blocked Exec.</t>
  </si>
  <si>
    <t>Open Defects</t>
  </si>
  <si>
    <t>TOTAL</t>
  </si>
  <si>
    <t>SauceDemo Test Workbook Manual</t>
  </si>
  <si>
    <t>Quick guide for navigating test specifications, planning applicability, recording actual executions, and logging defects.</t>
  </si>
  <si>
    <t>Section</t>
  </si>
  <si>
    <t>Purpose</t>
  </si>
  <si>
    <t>How to Use</t>
  </si>
  <si>
    <t>Important Caveat</t>
  </si>
  <si>
    <t>Document Summary</t>
  </si>
  <si>
    <t>High-level workbook context, testing categories, scope boundaries, and module code legend.</t>
  </si>
  <si>
    <t>Read first to understand the committed test set and execution architecture.</t>
  </si>
  <si>
    <t>The workbook separates test specification from test execution.</t>
  </si>
  <si>
    <t>Sources &amp; Assumptions</t>
  </si>
  <si>
    <t>Explains references, baseline assumptions, special-user handling, and the standard-expectation rule.</t>
  </si>
  <si>
    <t>Consult this sheet when a case seems to cover a special account or a feature not currently present.</t>
  </si>
  <si>
    <t>Live behavior must still be confirmed during execution.</t>
  </si>
  <si>
    <t>Module Test Case Sheets</t>
  </si>
  <si>
    <t>Contain the test specifications grouped by functionality.</t>
  </si>
  <si>
    <t>Use the module sheets to understand what should be tested, with what data, and what result is expected.</t>
  </si>
  <si>
    <t>Do not record Actual Result or Status here; execution evidence belongs in Test Execution Log.</t>
  </si>
  <si>
    <t>Classifies each case as Unit, Integration, System, or UAT.</t>
  </si>
  <si>
    <t>Use the assigned category unless the test design itself is formally changed.</t>
  </si>
  <si>
    <t>Category describes what is validated, not which tool or browser is used.</t>
  </si>
  <si>
    <t>Plans which SauceDemo account or user scope is relevant to the case.</t>
  </si>
  <si>
    <t>Use the listed account, Representative User, Multiple Relevant Users, All Applicable Users, or N/A.</t>
  </si>
  <si>
    <t>Applicability is planning metadata; it does not create execution rows automatically.</t>
  </si>
  <si>
    <t>Plans the intended breadth of browser execution.</t>
  </si>
  <si>
    <t>Use Primary Browser, All Supported Browsers, Representative Cross-Browser, Browser-Specific, or N/A.</t>
  </si>
  <si>
    <t>A coverage label does not mean every test must be multiplied across all browsers.</t>
  </si>
  <si>
    <t>Stores actual test runs and is the authoritative source for Actual Result and Status.</t>
  </si>
  <si>
    <t>Add one row only when a Case ID is genuinely executed under a specific Test User and Browser.</t>
  </si>
  <si>
    <t>Do not pre-generate all Case ID × Test User × Browser combinations.</t>
  </si>
  <si>
    <t>Distinguishes repeat runs of the same specification.</t>
  </si>
  <si>
    <t>Treat each actual run as Case ID + Test User + Browser, with its own result and status.</t>
  </si>
  <si>
    <t>One Case ID may have multiple executions, but only when relevant and actually performed.</t>
  </si>
  <si>
    <t>Identifies the SauceDemo account used during an execution.</t>
  </si>
  <si>
    <t>Choose standard_user, locked_out_user, problem_user, performance_glitch_user, error_user, visual_user, or another listed scope value.</t>
  </si>
  <si>
    <t>Use N/A when account selection is irrelevant.</t>
  </si>
  <si>
    <t>Identifies the browser used for an actual execution.</t>
  </si>
  <si>
    <t>Choose Chrome, Edge, Firefox, Opera, or N/A.</t>
  </si>
  <si>
    <t>Use N/A only when browser context genuinely does not apply.</t>
  </si>
  <si>
    <t>Tests tightly related common functionality even when absent from the current demo.</t>
  </si>
  <si>
    <t>Look for Remarks marked as Standard feature expectation or Standard login/security expectation.</t>
  </si>
  <si>
    <t>Examples include Remember Me, Forgot Password, rate limiting, field limits, product search, and quantity controls.</t>
  </si>
  <si>
    <t>Records the observable outcome of an execution.</t>
  </si>
  <si>
    <t>Write what actually happened in Test Execution Log.</t>
  </si>
  <si>
    <t>Do not copy Expected Result unless that is exactly what was observed.</t>
  </si>
  <si>
    <t>Records the outcome of an actual execution.</t>
  </si>
  <si>
    <t>Use Not Executed, Passed, Failed, Blocked, or Not Applicable.</t>
  </si>
  <si>
    <t>A failed execution is not automatically a confirmed defect until the mismatch is reproducible and reviewed.</t>
  </si>
  <si>
    <t>Defect Summary</t>
  </si>
  <si>
    <t>Tracks observed and reproducible defects.</t>
  </si>
  <si>
    <t>Link each defect to its Related Test Case ID, Test User, and Browser where applicable.</t>
  </si>
  <si>
    <t>A negative test case or absent feature is not itself automatically a defect.</t>
  </si>
  <si>
    <t>Test Case Summary</t>
  </si>
  <si>
    <t>Formula-linked overview of specification coverage, actual executions, and open defects.</t>
  </si>
  <si>
    <t>Use it to compare total cases and categories with execution totals and outcomes.</t>
  </si>
  <si>
    <t>Execution counts may exceed test case counts because one case can be run under multiple relevant combinations.</t>
  </si>
  <si>
    <t>Indicates whether a case may be suitable for automation.</t>
  </si>
  <si>
    <t>Use Yes, No, or Candidate.</t>
  </si>
  <si>
    <t>This is planning metadata and does not claim that automation already exists.</t>
  </si>
  <si>
    <t>SauceDemo Test User Quick Reference</t>
  </si>
  <si>
    <t>Primary Testing Role</t>
  </si>
  <si>
    <t>Typical Use</t>
  </si>
  <si>
    <t>Happy-path baseline</t>
  </si>
  <si>
    <t>Normal login, catalog, cart, checkout, and core workflows</t>
  </si>
  <si>
    <t>Primary expected-behavior reference.</t>
  </si>
  <si>
    <t>Access restriction</t>
  </si>
  <si>
    <t>Login rejection and error handling</t>
  </si>
  <si>
    <t>Expected behavior differs intentionally from standard_user.</t>
  </si>
  <si>
    <t>Functional anomaly persona</t>
  </si>
  <si>
    <t>Targeted product/detail/cart/checkout comparisons</t>
  </si>
  <si>
    <t>Execute only relevant cases; record exact deviations.</t>
  </si>
  <si>
    <t>Performance anomaly persona</t>
  </si>
  <si>
    <t>Login and representative workflow timing/feedback</t>
  </si>
  <si>
    <t>Do not multiply every case across this account.</t>
  </si>
  <si>
    <t>Error anomaly persona</t>
  </si>
  <si>
    <t>Targeted workflows likely to expose error behavior</t>
  </si>
  <si>
    <t>Capture reproducible failures and evidence.</t>
  </si>
  <si>
    <t>Visual anomaly persona</t>
  </si>
  <si>
    <t>UI, responsive, layout, and visual comparison cases</t>
  </si>
  <si>
    <t>Use screenshots where practical.</t>
  </si>
  <si>
    <t>UAT participant scope</t>
  </si>
  <si>
    <t>Usability and task-completion cases</t>
  </si>
  <si>
    <t>Not necessarily a SauceDemo credential identity.</t>
  </si>
  <si>
    <t>Non-account-specific scope</t>
  </si>
  <si>
    <t>Pre-login checks or cases where account choice is irrelevant</t>
  </si>
  <si>
    <t>Use only when account selection genuinely does not apply.</t>
  </si>
  <si>
    <t>Browser Coverage Quick Reference</t>
  </si>
  <si>
    <t>Coverage</t>
  </si>
  <si>
    <t>Meaning</t>
  </si>
  <si>
    <t>Execution Guidance</t>
  </si>
  <si>
    <t>Execute primarily in the team's chosen baseline browser</t>
  </si>
  <si>
    <t>Most field, functional, and targeted special-user cases</t>
  </si>
  <si>
    <t>Repeat elsewhere only when risk or failure justifies it.</t>
  </si>
  <si>
    <t>Execute in Chrome, Edge, Firefox, and Opera</t>
  </si>
  <si>
    <t>Critical login or purchase flows</t>
  </si>
  <si>
    <t>Creates multiple execution rows only for those actual runs.</t>
  </si>
  <si>
    <t>Use a selected browser sample appropriate to the risk</t>
  </si>
  <si>
    <t>Responsive, visual, compatibility-sensitive cases</t>
  </si>
  <si>
    <t>Does not require all browsers for every case.</t>
  </si>
  <si>
    <t>Browser-Specific</t>
  </si>
  <si>
    <t>Run in the browser directly relevant to the scenario</t>
  </si>
  <si>
    <t>Known or suspected browser-specific behavior</t>
  </si>
  <si>
    <t>Record only the targeted browser run(s).</t>
  </si>
  <si>
    <t>Browser context does not apply</t>
  </si>
  <si>
    <t>Rare non-browser-specific planning cases</t>
  </si>
  <si>
    <t>Use sparingly for this web application.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</si>
</sst>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7F7F2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rgb="FF12141C"/>
      <name val="Carlito"/>
    </font>
    <font>
      <b/>
      <sz val="11.0"/>
      <color rgb="FFF7F7F2"/>
      <name val="Carlito"/>
    </font>
    <font>
      <b/>
      <sz val="15.0"/>
      <color rgb="FFF7F7F2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2141C"/>
        <bgColor rgb="FF12141C"/>
      </patternFill>
    </fill>
    <fill>
      <patternFill patternType="solid">
        <fgColor rgb="FFC8102E"/>
        <bgColor rgb="FFC8102E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242833"/>
        <bgColor rgb="FF24283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left" vertical="center"/>
    </xf>
    <xf borderId="0" fillId="5" fontId="5" numFmtId="0" xfId="0" applyFill="1" applyFont="1"/>
    <xf borderId="0" fillId="6" fontId="6" numFmtId="0" xfId="0" applyFill="1" applyFont="1"/>
    <xf borderId="0" fillId="0" fontId="4" numFmtId="0" xfId="0" applyFont="1"/>
    <xf borderId="0" fillId="2" fontId="7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/>
    </xf>
    <xf borderId="0" fillId="6" fontId="6" numFmtId="0" xfId="0" applyAlignment="1" applyFont="1">
      <alignment horizontal="center"/>
    </xf>
  </cellXfs>
  <cellStyles count="1">
    <cellStyle xfId="0" name="Normal" builtinId="0"/>
  </cellStyles>
  <dxfs count="8">
    <dxf>
      <font>
        <b/>
        <color rgb="FF1F4E78"/>
      </font>
      <fill>
        <patternFill patternType="solid">
          <fgColor rgb="FFDDEBF7"/>
          <bgColor rgb="FFDDEBF7"/>
        </patternFill>
      </fill>
      <border/>
    </dxf>
    <dxf>
      <font>
        <b/>
        <color rgb="FF375623"/>
      </font>
      <fill>
        <patternFill patternType="solid">
          <fgColor rgb="FFE2F0D9"/>
          <bgColor rgb="FFE2F0D9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C65911"/>
      </font>
      <fill>
        <patternFill patternType="solid">
          <fgColor rgb="FFFCE4D6"/>
          <bgColor rgb="FFFCE4D6"/>
        </patternFill>
      </fill>
      <border/>
    </dxf>
    <dxf>
      <font>
        <b/>
        <color rgb="FF375623"/>
      </font>
      <fill>
        <patternFill patternType="solid">
          <fgColor rgb="FFC6E0B4"/>
          <bgColor rgb="FFC6E0B4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B45F06"/>
      </font>
      <fill>
        <patternFill patternType="solid">
          <fgColor rgb="FFFCE5CD"/>
          <bgColor rgb="FFFCE5CD"/>
        </patternFill>
      </fill>
      <border/>
    </dxf>
    <dxf>
      <font>
        <b/>
        <color rgb="FF595959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92.0"/>
    <col customWidth="1" min="3" max="26" width="8.6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</row>
    <row r="11">
      <c r="A11" s="2" t="s">
        <v>19</v>
      </c>
      <c r="B11" s="3" t="s">
        <v>20</v>
      </c>
    </row>
    <row r="12">
      <c r="A12" s="2" t="s">
        <v>21</v>
      </c>
      <c r="B12" s="3" t="s">
        <v>22</v>
      </c>
    </row>
    <row r="13">
      <c r="A13" s="2" t="s">
        <v>23</v>
      </c>
      <c r="B13" s="3">
        <v>239.0</v>
      </c>
    </row>
    <row r="14">
      <c r="A14" s="2" t="s">
        <v>24</v>
      </c>
      <c r="B14" s="3">
        <v>17.0</v>
      </c>
    </row>
    <row r="15">
      <c r="A15" s="2" t="s">
        <v>25</v>
      </c>
      <c r="B15" s="3" t="s">
        <v>26</v>
      </c>
    </row>
    <row r="16">
      <c r="A16" s="2" t="s">
        <v>27</v>
      </c>
      <c r="B16" s="3" t="s">
        <v>28</v>
      </c>
    </row>
    <row r="17">
      <c r="A17" s="4" t="s">
        <v>29</v>
      </c>
      <c r="B17" s="5" t="s">
        <v>30</v>
      </c>
    </row>
    <row r="20">
      <c r="A20" s="6" t="s">
        <v>31</v>
      </c>
    </row>
    <row r="21" ht="15.75" customHeight="1">
      <c r="A21" s="7" t="s">
        <v>32</v>
      </c>
      <c r="B21" s="3" t="s">
        <v>33</v>
      </c>
    </row>
    <row r="22" ht="15.75" customHeight="1">
      <c r="A22" s="7" t="s">
        <v>34</v>
      </c>
      <c r="B22" s="3" t="s">
        <v>35</v>
      </c>
    </row>
    <row r="23" ht="15.75" customHeight="1">
      <c r="A23" s="7" t="s">
        <v>1</v>
      </c>
      <c r="B23" s="3" t="s">
        <v>36</v>
      </c>
    </row>
    <row r="24" ht="15.75" customHeight="1">
      <c r="A24" s="7" t="s">
        <v>37</v>
      </c>
      <c r="B24" s="3" t="s">
        <v>38</v>
      </c>
    </row>
    <row r="25" ht="15.75" customHeight="1"/>
    <row r="26" ht="15.75" customHeight="1"/>
    <row r="27" ht="15.75" customHeight="1">
      <c r="A27" s="6" t="s">
        <v>39</v>
      </c>
    </row>
    <row r="28" ht="15.75" customHeight="1">
      <c r="A28" s="8" t="s">
        <v>40</v>
      </c>
      <c r="B28" s="9" t="s">
        <v>41</v>
      </c>
    </row>
    <row r="29" ht="15.75" customHeight="1">
      <c r="A29" s="8" t="s">
        <v>42</v>
      </c>
      <c r="B29" s="9" t="s">
        <v>43</v>
      </c>
    </row>
    <row r="30" ht="15.75" customHeight="1">
      <c r="A30" s="8" t="s">
        <v>44</v>
      </c>
      <c r="B30" s="9" t="s">
        <v>45</v>
      </c>
    </row>
    <row r="31" ht="15.75" customHeight="1">
      <c r="A31" s="8" t="s">
        <v>46</v>
      </c>
      <c r="B31" s="9" t="s">
        <v>47</v>
      </c>
    </row>
    <row r="32" ht="15.75" customHeight="1">
      <c r="A32" s="8" t="s">
        <v>48</v>
      </c>
      <c r="B32" s="9" t="s">
        <v>49</v>
      </c>
    </row>
    <row r="33" ht="15.75" customHeight="1">
      <c r="A33" s="8" t="s">
        <v>50</v>
      </c>
      <c r="B33" s="9" t="s">
        <v>51</v>
      </c>
    </row>
    <row r="34" ht="15.75" customHeight="1">
      <c r="A34" s="8" t="s">
        <v>52</v>
      </c>
      <c r="B34" s="9" t="s">
        <v>53</v>
      </c>
    </row>
    <row r="35" ht="15.75" customHeight="1">
      <c r="A35" s="8" t="s">
        <v>54</v>
      </c>
      <c r="B35" s="9" t="s">
        <v>55</v>
      </c>
    </row>
    <row r="36" ht="15.75" customHeight="1">
      <c r="A36" s="8" t="s">
        <v>56</v>
      </c>
      <c r="B36" s="9" t="s">
        <v>57</v>
      </c>
    </row>
    <row r="37" ht="15.75" customHeight="1">
      <c r="A37" s="8" t="s">
        <v>58</v>
      </c>
      <c r="B37" s="9" t="s">
        <v>59</v>
      </c>
    </row>
    <row r="38" ht="15.75" customHeight="1">
      <c r="A38" s="8" t="s">
        <v>60</v>
      </c>
      <c r="B38" s="9" t="s">
        <v>61</v>
      </c>
    </row>
    <row r="39" ht="15.75" customHeight="1">
      <c r="A39" s="8" t="s">
        <v>62</v>
      </c>
      <c r="B39" s="9" t="s">
        <v>63</v>
      </c>
    </row>
    <row r="40" ht="15.75" customHeight="1">
      <c r="A40" s="8" t="s">
        <v>64</v>
      </c>
      <c r="B40" s="9" t="s">
        <v>65</v>
      </c>
    </row>
    <row r="41" ht="15.75" customHeight="1">
      <c r="A41" s="8" t="s">
        <v>66</v>
      </c>
      <c r="B41" s="9" t="s">
        <v>67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0:B20"/>
    <mergeCell ref="A27:B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8.0"/>
    <col customWidth="1" min="3" max="3" width="52.0"/>
    <col customWidth="1" min="4" max="4" width="54.0"/>
    <col customWidth="1" min="5" max="26" width="8.63"/>
  </cols>
  <sheetData>
    <row r="1">
      <c r="A1" s="10" t="s">
        <v>68</v>
      </c>
    </row>
    <row r="3">
      <c r="A3" s="11" t="s">
        <v>69</v>
      </c>
      <c r="B3" s="11" t="s">
        <v>70</v>
      </c>
      <c r="C3" s="11" t="s">
        <v>71</v>
      </c>
      <c r="D3" s="11" t="s">
        <v>72</v>
      </c>
    </row>
    <row r="4">
      <c r="A4" s="3" t="s">
        <v>73</v>
      </c>
      <c r="B4" s="3" t="s">
        <v>4</v>
      </c>
      <c r="C4" s="3" t="s">
        <v>74</v>
      </c>
      <c r="D4" s="3" t="s">
        <v>75</v>
      </c>
    </row>
    <row r="5">
      <c r="A5" s="3" t="s">
        <v>76</v>
      </c>
      <c r="B5" s="3" t="s">
        <v>77</v>
      </c>
      <c r="C5" s="3" t="s">
        <v>78</v>
      </c>
      <c r="D5" s="3" t="s">
        <v>79</v>
      </c>
    </row>
    <row r="6">
      <c r="A6" s="3" t="s">
        <v>80</v>
      </c>
      <c r="B6" s="3" t="s">
        <v>81</v>
      </c>
      <c r="C6" s="3" t="s">
        <v>82</v>
      </c>
      <c r="D6" s="3" t="s">
        <v>83</v>
      </c>
    </row>
    <row r="7">
      <c r="A7" s="3" t="s">
        <v>84</v>
      </c>
      <c r="B7" s="3" t="s">
        <v>85</v>
      </c>
      <c r="C7" s="3" t="s">
        <v>86</v>
      </c>
      <c r="D7" s="3" t="s">
        <v>87</v>
      </c>
    </row>
    <row r="8">
      <c r="A8" s="3" t="s">
        <v>88</v>
      </c>
      <c r="B8" s="3" t="s">
        <v>89</v>
      </c>
      <c r="C8" s="3" t="s">
        <v>90</v>
      </c>
      <c r="D8" s="3" t="s">
        <v>91</v>
      </c>
    </row>
    <row r="9">
      <c r="A9" s="3" t="s">
        <v>88</v>
      </c>
      <c r="B9" s="3" t="s">
        <v>92</v>
      </c>
      <c r="C9" s="3" t="s">
        <v>93</v>
      </c>
      <c r="D9" s="3" t="s">
        <v>94</v>
      </c>
    </row>
    <row r="10">
      <c r="A10" s="3" t="s">
        <v>88</v>
      </c>
      <c r="B10" s="3" t="s">
        <v>95</v>
      </c>
      <c r="C10" s="3" t="s">
        <v>96</v>
      </c>
      <c r="D10" s="3" t="s">
        <v>97</v>
      </c>
    </row>
    <row r="11">
      <c r="A11" s="3" t="s">
        <v>98</v>
      </c>
      <c r="B11" s="3" t="s">
        <v>99</v>
      </c>
      <c r="C11" s="3" t="s">
        <v>100</v>
      </c>
      <c r="D11" s="3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102</v>
      </c>
    </row>
    <row r="2" ht="21.75" customHeight="1">
      <c r="A2" s="6" t="s">
        <v>103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116</v>
      </c>
      <c r="B4" s="12" t="s">
        <v>32</v>
      </c>
      <c r="C4" s="12" t="s">
        <v>41</v>
      </c>
      <c r="D4" s="12" t="s">
        <v>117</v>
      </c>
      <c r="E4" s="12" t="s">
        <v>118</v>
      </c>
      <c r="F4" s="12" t="s">
        <v>119</v>
      </c>
      <c r="G4" s="12" t="s">
        <v>120</v>
      </c>
      <c r="H4" s="12" t="s">
        <v>121</v>
      </c>
      <c r="I4" s="12" t="s">
        <v>119</v>
      </c>
      <c r="J4" s="12" t="s">
        <v>122</v>
      </c>
      <c r="K4" s="12"/>
      <c r="L4" s="12" t="s">
        <v>123</v>
      </c>
    </row>
    <row r="5">
      <c r="A5" s="12" t="s">
        <v>124</v>
      </c>
      <c r="B5" s="12" t="s">
        <v>32</v>
      </c>
      <c r="C5" s="12" t="s">
        <v>41</v>
      </c>
      <c r="D5" s="12" t="s">
        <v>125</v>
      </c>
      <c r="E5" s="12" t="s">
        <v>118</v>
      </c>
      <c r="F5" s="12" t="s">
        <v>119</v>
      </c>
      <c r="G5" s="12" t="s">
        <v>120</v>
      </c>
      <c r="H5" s="12" t="s">
        <v>126</v>
      </c>
      <c r="I5" s="12" t="s">
        <v>119</v>
      </c>
      <c r="J5" s="12" t="s">
        <v>122</v>
      </c>
      <c r="K5" s="12"/>
      <c r="L5" s="12" t="s">
        <v>123</v>
      </c>
    </row>
    <row r="6">
      <c r="A6" s="12" t="s">
        <v>127</v>
      </c>
      <c r="B6" s="12" t="s">
        <v>32</v>
      </c>
      <c r="C6" s="12" t="s">
        <v>41</v>
      </c>
      <c r="D6" s="12" t="s">
        <v>128</v>
      </c>
      <c r="E6" s="12" t="s">
        <v>118</v>
      </c>
      <c r="F6" s="12" t="s">
        <v>119</v>
      </c>
      <c r="G6" s="12" t="s">
        <v>120</v>
      </c>
      <c r="H6" s="12" t="s">
        <v>129</v>
      </c>
      <c r="I6" s="12" t="s">
        <v>119</v>
      </c>
      <c r="J6" s="12" t="s">
        <v>122</v>
      </c>
      <c r="K6" s="12"/>
      <c r="L6" s="12" t="s">
        <v>123</v>
      </c>
    </row>
    <row r="7">
      <c r="A7" s="12" t="s">
        <v>130</v>
      </c>
      <c r="B7" s="12" t="s">
        <v>32</v>
      </c>
      <c r="C7" s="12" t="s">
        <v>41</v>
      </c>
      <c r="D7" s="12" t="s">
        <v>131</v>
      </c>
      <c r="E7" s="12" t="s">
        <v>118</v>
      </c>
      <c r="F7" s="12" t="s">
        <v>132</v>
      </c>
      <c r="G7" s="12" t="s">
        <v>133</v>
      </c>
      <c r="H7" s="12" t="s">
        <v>134</v>
      </c>
      <c r="I7" s="12" t="s">
        <v>119</v>
      </c>
      <c r="J7" s="12" t="s">
        <v>122</v>
      </c>
      <c r="K7" s="12"/>
      <c r="L7" s="12" t="s">
        <v>123</v>
      </c>
    </row>
    <row r="8">
      <c r="A8" s="12" t="s">
        <v>135</v>
      </c>
      <c r="B8" s="12" t="s">
        <v>32</v>
      </c>
      <c r="C8" s="12" t="s">
        <v>41</v>
      </c>
      <c r="D8" s="12" t="s">
        <v>136</v>
      </c>
      <c r="E8" s="12" t="s">
        <v>118</v>
      </c>
      <c r="F8" s="12" t="s">
        <v>137</v>
      </c>
      <c r="G8" s="12" t="s">
        <v>138</v>
      </c>
      <c r="H8" s="12" t="s">
        <v>139</v>
      </c>
      <c r="I8" s="12" t="s">
        <v>119</v>
      </c>
      <c r="J8" s="12" t="s">
        <v>122</v>
      </c>
      <c r="K8" s="12"/>
      <c r="L8" s="12" t="s">
        <v>123</v>
      </c>
    </row>
    <row r="9">
      <c r="A9" s="12" t="s">
        <v>140</v>
      </c>
      <c r="B9" s="12" t="s">
        <v>32</v>
      </c>
      <c r="C9" s="12" t="s">
        <v>41</v>
      </c>
      <c r="D9" s="12" t="s">
        <v>141</v>
      </c>
      <c r="E9" s="12" t="s">
        <v>118</v>
      </c>
      <c r="F9" s="12" t="s">
        <v>137</v>
      </c>
      <c r="G9" s="12" t="s">
        <v>142</v>
      </c>
      <c r="H9" s="12" t="s">
        <v>143</v>
      </c>
      <c r="I9" s="12" t="s">
        <v>119</v>
      </c>
      <c r="J9" s="12" t="s">
        <v>122</v>
      </c>
      <c r="K9" s="12"/>
      <c r="L9" s="12" t="s">
        <v>123</v>
      </c>
    </row>
    <row r="10">
      <c r="A10" s="12" t="s">
        <v>144</v>
      </c>
      <c r="B10" s="12" t="s">
        <v>32</v>
      </c>
      <c r="C10" s="12" t="s">
        <v>41</v>
      </c>
      <c r="D10" s="12" t="s">
        <v>145</v>
      </c>
      <c r="E10" s="12" t="s">
        <v>146</v>
      </c>
      <c r="F10" s="12" t="s">
        <v>6</v>
      </c>
      <c r="G10" s="12" t="s">
        <v>147</v>
      </c>
      <c r="H10" s="12" t="s">
        <v>148</v>
      </c>
      <c r="I10" s="12" t="s">
        <v>119</v>
      </c>
      <c r="J10" s="12" t="s">
        <v>122</v>
      </c>
      <c r="K10" s="12"/>
      <c r="L10" s="12" t="s">
        <v>123</v>
      </c>
    </row>
    <row r="11">
      <c r="A11" s="12" t="s">
        <v>149</v>
      </c>
      <c r="B11" s="12" t="s">
        <v>32</v>
      </c>
      <c r="C11" s="12" t="s">
        <v>41</v>
      </c>
      <c r="D11" s="12" t="s">
        <v>150</v>
      </c>
      <c r="E11" s="12" t="s">
        <v>118</v>
      </c>
      <c r="F11" s="12" t="s">
        <v>151</v>
      </c>
      <c r="G11" s="12" t="s">
        <v>147</v>
      </c>
      <c r="H11" s="12" t="s">
        <v>152</v>
      </c>
      <c r="I11" s="12" t="s">
        <v>119</v>
      </c>
      <c r="J11" s="12" t="s">
        <v>122</v>
      </c>
      <c r="K11" s="12"/>
      <c r="L11" s="12" t="s">
        <v>123</v>
      </c>
    </row>
    <row r="12">
      <c r="A12" s="12" t="s">
        <v>153</v>
      </c>
      <c r="B12" s="12" t="s">
        <v>32</v>
      </c>
      <c r="C12" s="12" t="s">
        <v>41</v>
      </c>
      <c r="D12" s="12" t="s">
        <v>154</v>
      </c>
      <c r="E12" s="12" t="s">
        <v>118</v>
      </c>
      <c r="F12" s="12" t="s">
        <v>155</v>
      </c>
      <c r="G12" s="12" t="s">
        <v>156</v>
      </c>
      <c r="H12" s="12" t="s">
        <v>157</v>
      </c>
      <c r="I12" s="12" t="s">
        <v>119</v>
      </c>
      <c r="J12" s="12" t="s">
        <v>122</v>
      </c>
      <c r="K12" s="12"/>
      <c r="L12" s="12" t="s">
        <v>123</v>
      </c>
    </row>
    <row r="13">
      <c r="A13" s="12" t="s">
        <v>158</v>
      </c>
      <c r="B13" s="12" t="s">
        <v>32</v>
      </c>
      <c r="C13" s="12" t="s">
        <v>41</v>
      </c>
      <c r="D13" s="12" t="s">
        <v>159</v>
      </c>
      <c r="E13" s="12" t="s">
        <v>118</v>
      </c>
      <c r="F13" s="12" t="s">
        <v>160</v>
      </c>
      <c r="G13" s="12" t="s">
        <v>156</v>
      </c>
      <c r="H13" s="12" t="s">
        <v>157</v>
      </c>
      <c r="I13" s="12" t="s">
        <v>119</v>
      </c>
      <c r="J13" s="12" t="s">
        <v>122</v>
      </c>
      <c r="K13" s="12"/>
      <c r="L13" s="12" t="s">
        <v>123</v>
      </c>
    </row>
    <row r="14">
      <c r="A14" s="12" t="s">
        <v>161</v>
      </c>
      <c r="B14" s="12" t="s">
        <v>32</v>
      </c>
      <c r="C14" s="12" t="s">
        <v>41</v>
      </c>
      <c r="D14" s="12" t="s">
        <v>162</v>
      </c>
      <c r="E14" s="12" t="s">
        <v>118</v>
      </c>
      <c r="F14" s="12" t="s">
        <v>163</v>
      </c>
      <c r="G14" s="12" t="s">
        <v>156</v>
      </c>
      <c r="H14" s="12" t="s">
        <v>164</v>
      </c>
      <c r="I14" s="12" t="s">
        <v>119</v>
      </c>
      <c r="J14" s="12" t="s">
        <v>122</v>
      </c>
      <c r="K14" s="12"/>
      <c r="L14" s="12" t="s">
        <v>123</v>
      </c>
    </row>
    <row r="15">
      <c r="A15" s="12" t="s">
        <v>165</v>
      </c>
      <c r="B15" s="12" t="s">
        <v>32</v>
      </c>
      <c r="C15" s="12" t="s">
        <v>41</v>
      </c>
      <c r="D15" s="12" t="s">
        <v>166</v>
      </c>
      <c r="E15" s="12" t="s">
        <v>118</v>
      </c>
      <c r="F15" s="12" t="s">
        <v>167</v>
      </c>
      <c r="G15" s="12" t="s">
        <v>156</v>
      </c>
      <c r="H15" s="12" t="s">
        <v>168</v>
      </c>
      <c r="I15" s="12" t="s">
        <v>119</v>
      </c>
      <c r="J15" s="12" t="s">
        <v>122</v>
      </c>
      <c r="K15" s="12"/>
      <c r="L15" s="12" t="s">
        <v>123</v>
      </c>
    </row>
    <row r="16">
      <c r="A16" s="12" t="s">
        <v>169</v>
      </c>
      <c r="B16" s="12" t="s">
        <v>32</v>
      </c>
      <c r="C16" s="12" t="s">
        <v>41</v>
      </c>
      <c r="D16" s="12" t="s">
        <v>170</v>
      </c>
      <c r="E16" s="12" t="s">
        <v>118</v>
      </c>
      <c r="F16" s="12" t="s">
        <v>171</v>
      </c>
      <c r="G16" s="12" t="s">
        <v>156</v>
      </c>
      <c r="H16" s="12" t="s">
        <v>168</v>
      </c>
      <c r="I16" s="12" t="s">
        <v>119</v>
      </c>
      <c r="J16" s="12" t="s">
        <v>122</v>
      </c>
      <c r="K16" s="12"/>
      <c r="L16" s="12" t="s">
        <v>123</v>
      </c>
    </row>
    <row r="17">
      <c r="A17" s="12" t="s">
        <v>172</v>
      </c>
      <c r="B17" s="12" t="s">
        <v>32</v>
      </c>
      <c r="C17" s="12" t="s">
        <v>41</v>
      </c>
      <c r="D17" s="12" t="s">
        <v>173</v>
      </c>
      <c r="E17" s="12" t="s">
        <v>118</v>
      </c>
      <c r="F17" s="12" t="s">
        <v>174</v>
      </c>
      <c r="G17" s="12" t="s">
        <v>156</v>
      </c>
      <c r="H17" s="12" t="s">
        <v>175</v>
      </c>
      <c r="I17" s="12" t="s">
        <v>119</v>
      </c>
      <c r="J17" s="12" t="s">
        <v>122</v>
      </c>
      <c r="K17" s="12"/>
      <c r="L17" s="12" t="s">
        <v>123</v>
      </c>
    </row>
    <row r="18">
      <c r="A18" s="12" t="s">
        <v>176</v>
      </c>
      <c r="B18" s="12" t="s">
        <v>32</v>
      </c>
      <c r="C18" s="12" t="s">
        <v>41</v>
      </c>
      <c r="D18" s="12" t="s">
        <v>177</v>
      </c>
      <c r="E18" s="12" t="s">
        <v>118</v>
      </c>
      <c r="F18" s="12" t="s">
        <v>178</v>
      </c>
      <c r="G18" s="12" t="s">
        <v>156</v>
      </c>
      <c r="H18" s="12" t="s">
        <v>179</v>
      </c>
      <c r="I18" s="12" t="s">
        <v>132</v>
      </c>
      <c r="J18" s="12" t="s">
        <v>180</v>
      </c>
      <c r="K18" s="12"/>
      <c r="L18" s="12" t="s">
        <v>123</v>
      </c>
    </row>
    <row r="19">
      <c r="A19" s="12" t="s">
        <v>181</v>
      </c>
      <c r="B19" s="12" t="s">
        <v>32</v>
      </c>
      <c r="C19" s="12" t="s">
        <v>41</v>
      </c>
      <c r="D19" s="12" t="s">
        <v>182</v>
      </c>
      <c r="E19" s="12" t="s">
        <v>118</v>
      </c>
      <c r="F19" s="12" t="s">
        <v>183</v>
      </c>
      <c r="G19" s="12" t="s">
        <v>184</v>
      </c>
      <c r="H19" s="12" t="s">
        <v>185</v>
      </c>
      <c r="I19" s="12" t="s">
        <v>119</v>
      </c>
      <c r="J19" s="12" t="s">
        <v>122</v>
      </c>
      <c r="K19" s="12"/>
      <c r="L19" s="12" t="s">
        <v>123</v>
      </c>
    </row>
    <row r="20">
      <c r="A20" s="12" t="s">
        <v>186</v>
      </c>
      <c r="B20" s="12" t="s">
        <v>32</v>
      </c>
      <c r="C20" s="12" t="s">
        <v>41</v>
      </c>
      <c r="D20" s="12" t="s">
        <v>187</v>
      </c>
      <c r="E20" s="12" t="s">
        <v>118</v>
      </c>
      <c r="F20" s="12" t="s">
        <v>188</v>
      </c>
      <c r="G20" s="12" t="s">
        <v>184</v>
      </c>
      <c r="H20" s="12" t="s">
        <v>189</v>
      </c>
      <c r="I20" s="12" t="s">
        <v>119</v>
      </c>
      <c r="J20" s="12" t="s">
        <v>122</v>
      </c>
      <c r="K20" s="12"/>
      <c r="L20" s="12" t="s">
        <v>123</v>
      </c>
    </row>
    <row r="21" ht="15.75" customHeight="1">
      <c r="A21" s="12" t="s">
        <v>190</v>
      </c>
      <c r="B21" s="12" t="s">
        <v>32</v>
      </c>
      <c r="C21" s="12" t="s">
        <v>41</v>
      </c>
      <c r="D21" s="12" t="s">
        <v>191</v>
      </c>
      <c r="E21" s="12" t="s">
        <v>118</v>
      </c>
      <c r="F21" s="12" t="s">
        <v>192</v>
      </c>
      <c r="G21" s="12" t="s">
        <v>193</v>
      </c>
      <c r="H21" s="12" t="s">
        <v>194</v>
      </c>
      <c r="I21" s="12" t="s">
        <v>119</v>
      </c>
      <c r="J21" s="12" t="s">
        <v>122</v>
      </c>
      <c r="K21" s="12"/>
      <c r="L21" s="12" t="s">
        <v>123</v>
      </c>
    </row>
    <row r="22" ht="15.75" customHeight="1">
      <c r="A22" s="12" t="s">
        <v>195</v>
      </c>
      <c r="B22" s="12" t="s">
        <v>32</v>
      </c>
      <c r="C22" s="12" t="s">
        <v>41</v>
      </c>
      <c r="D22" s="12" t="s">
        <v>196</v>
      </c>
      <c r="E22" s="12" t="s">
        <v>118</v>
      </c>
      <c r="F22" s="12" t="s">
        <v>197</v>
      </c>
      <c r="G22" s="12" t="s">
        <v>193</v>
      </c>
      <c r="H22" s="12" t="s">
        <v>194</v>
      </c>
      <c r="I22" s="12" t="s">
        <v>119</v>
      </c>
      <c r="J22" s="12" t="s">
        <v>122</v>
      </c>
      <c r="K22" s="12"/>
      <c r="L22" s="12" t="s">
        <v>123</v>
      </c>
    </row>
    <row r="23" ht="15.75" customHeight="1">
      <c r="A23" s="12" t="s">
        <v>198</v>
      </c>
      <c r="B23" s="12" t="s">
        <v>1</v>
      </c>
      <c r="C23" s="12" t="s">
        <v>41</v>
      </c>
      <c r="D23" s="12" t="s">
        <v>199</v>
      </c>
      <c r="E23" s="12" t="s">
        <v>118</v>
      </c>
      <c r="F23" s="12" t="s">
        <v>200</v>
      </c>
      <c r="G23" s="12" t="s">
        <v>201</v>
      </c>
      <c r="H23" s="12" t="s">
        <v>202</v>
      </c>
      <c r="I23" s="12" t="s">
        <v>119</v>
      </c>
      <c r="J23" s="12" t="s">
        <v>122</v>
      </c>
      <c r="K23" s="12"/>
      <c r="L23" s="12" t="s">
        <v>203</v>
      </c>
    </row>
    <row r="24" ht="15.75" customHeight="1">
      <c r="A24" s="12" t="s">
        <v>204</v>
      </c>
      <c r="B24" s="12" t="s">
        <v>1</v>
      </c>
      <c r="C24" s="12" t="s">
        <v>41</v>
      </c>
      <c r="D24" s="12" t="s">
        <v>205</v>
      </c>
      <c r="E24" s="12" t="s">
        <v>118</v>
      </c>
      <c r="F24" s="12" t="s">
        <v>200</v>
      </c>
      <c r="G24" s="12" t="s">
        <v>206</v>
      </c>
      <c r="H24" s="12" t="s">
        <v>207</v>
      </c>
      <c r="I24" s="12" t="s">
        <v>119</v>
      </c>
      <c r="J24" s="12" t="s">
        <v>122</v>
      </c>
      <c r="K24" s="12"/>
      <c r="L24" s="12" t="s">
        <v>203</v>
      </c>
    </row>
    <row r="25" ht="15.75" customHeight="1">
      <c r="A25" s="12" t="s">
        <v>208</v>
      </c>
      <c r="B25" s="12" t="s">
        <v>1</v>
      </c>
      <c r="C25" s="12" t="s">
        <v>41</v>
      </c>
      <c r="D25" s="12" t="s">
        <v>209</v>
      </c>
      <c r="E25" s="12" t="s">
        <v>118</v>
      </c>
      <c r="F25" s="12" t="s">
        <v>200</v>
      </c>
      <c r="G25" s="12" t="s">
        <v>210</v>
      </c>
      <c r="H25" s="12" t="s">
        <v>211</v>
      </c>
      <c r="I25" s="12" t="s">
        <v>119</v>
      </c>
      <c r="J25" s="12" t="s">
        <v>122</v>
      </c>
      <c r="K25" s="12"/>
      <c r="L25" s="12" t="s">
        <v>203</v>
      </c>
    </row>
    <row r="26" ht="15.75" customHeight="1">
      <c r="A26" s="12" t="s">
        <v>212</v>
      </c>
      <c r="B26" s="12" t="s">
        <v>1</v>
      </c>
      <c r="C26" s="12" t="s">
        <v>41</v>
      </c>
      <c r="D26" s="12" t="s">
        <v>213</v>
      </c>
      <c r="E26" s="12" t="s">
        <v>118</v>
      </c>
      <c r="F26" s="12" t="s">
        <v>214</v>
      </c>
      <c r="G26" s="12" t="s">
        <v>215</v>
      </c>
      <c r="H26" s="12" t="s">
        <v>216</v>
      </c>
      <c r="I26" s="12" t="s">
        <v>217</v>
      </c>
      <c r="J26" s="12" t="s">
        <v>122</v>
      </c>
      <c r="K26" s="12" t="s">
        <v>218</v>
      </c>
      <c r="L26" s="12" t="s">
        <v>203</v>
      </c>
    </row>
    <row r="27" ht="15.75" customHeight="1">
      <c r="A27" s="12" t="s">
        <v>219</v>
      </c>
      <c r="B27" s="12" t="s">
        <v>1</v>
      </c>
      <c r="C27" s="12" t="s">
        <v>41</v>
      </c>
      <c r="D27" s="12" t="s">
        <v>220</v>
      </c>
      <c r="E27" s="12" t="s">
        <v>118</v>
      </c>
      <c r="F27" s="12" t="s">
        <v>221</v>
      </c>
      <c r="G27" s="12" t="s">
        <v>215</v>
      </c>
      <c r="H27" s="12" t="s">
        <v>222</v>
      </c>
      <c r="I27" s="12" t="s">
        <v>223</v>
      </c>
      <c r="J27" s="12" t="s">
        <v>122</v>
      </c>
      <c r="K27" s="12" t="s">
        <v>218</v>
      </c>
      <c r="L27" s="12" t="s">
        <v>203</v>
      </c>
    </row>
    <row r="28" ht="15.75" customHeight="1">
      <c r="A28" s="12" t="s">
        <v>224</v>
      </c>
      <c r="B28" s="12" t="s">
        <v>1</v>
      </c>
      <c r="C28" s="12" t="s">
        <v>41</v>
      </c>
      <c r="D28" s="12" t="s">
        <v>225</v>
      </c>
      <c r="E28" s="12" t="s">
        <v>118</v>
      </c>
      <c r="F28" s="12" t="s">
        <v>226</v>
      </c>
      <c r="G28" s="12" t="s">
        <v>215</v>
      </c>
      <c r="H28" s="12" t="s">
        <v>227</v>
      </c>
      <c r="I28" s="12" t="s">
        <v>228</v>
      </c>
      <c r="J28" s="12" t="s">
        <v>122</v>
      </c>
      <c r="K28" s="12" t="s">
        <v>218</v>
      </c>
      <c r="L28" s="12" t="s">
        <v>203</v>
      </c>
    </row>
    <row r="29" ht="15.75" customHeight="1">
      <c r="A29" s="12" t="s">
        <v>229</v>
      </c>
      <c r="B29" s="12" t="s">
        <v>1</v>
      </c>
      <c r="C29" s="12" t="s">
        <v>41</v>
      </c>
      <c r="D29" s="12" t="s">
        <v>230</v>
      </c>
      <c r="E29" s="12" t="s">
        <v>118</v>
      </c>
      <c r="F29" s="12" t="s">
        <v>231</v>
      </c>
      <c r="G29" s="12" t="s">
        <v>215</v>
      </c>
      <c r="H29" s="12" t="s">
        <v>232</v>
      </c>
      <c r="I29" s="12" t="s">
        <v>233</v>
      </c>
      <c r="J29" s="12" t="s">
        <v>122</v>
      </c>
      <c r="K29" s="12" t="s">
        <v>218</v>
      </c>
      <c r="L29" s="12" t="s">
        <v>203</v>
      </c>
    </row>
    <row r="30" ht="15.75" customHeight="1">
      <c r="A30" s="12" t="s">
        <v>234</v>
      </c>
      <c r="B30" s="12" t="s">
        <v>1</v>
      </c>
      <c r="C30" s="12" t="s">
        <v>41</v>
      </c>
      <c r="D30" s="12" t="s">
        <v>235</v>
      </c>
      <c r="E30" s="12" t="s">
        <v>118</v>
      </c>
      <c r="F30" s="12" t="s">
        <v>236</v>
      </c>
      <c r="G30" s="12" t="s">
        <v>215</v>
      </c>
      <c r="H30" s="12" t="s">
        <v>237</v>
      </c>
      <c r="I30" s="12" t="s">
        <v>238</v>
      </c>
      <c r="J30" s="12" t="s">
        <v>122</v>
      </c>
      <c r="K30" s="12" t="s">
        <v>218</v>
      </c>
      <c r="L30" s="12" t="s">
        <v>203</v>
      </c>
    </row>
    <row r="31" ht="15.75" customHeight="1">
      <c r="A31" s="12" t="s">
        <v>239</v>
      </c>
      <c r="B31" s="12" t="s">
        <v>1</v>
      </c>
      <c r="C31" s="12" t="s">
        <v>41</v>
      </c>
      <c r="D31" s="12" t="s">
        <v>240</v>
      </c>
      <c r="E31" s="12" t="s">
        <v>118</v>
      </c>
      <c r="F31" s="12" t="s">
        <v>119</v>
      </c>
      <c r="G31" s="12" t="s">
        <v>241</v>
      </c>
      <c r="H31" s="12" t="s">
        <v>242</v>
      </c>
      <c r="I31" s="12" t="s">
        <v>132</v>
      </c>
      <c r="J31" s="12" t="s">
        <v>122</v>
      </c>
      <c r="K31" s="12" t="s">
        <v>243</v>
      </c>
      <c r="L31" s="12" t="s">
        <v>203</v>
      </c>
    </row>
    <row r="32" ht="15.75" customHeight="1">
      <c r="A32" s="12" t="s">
        <v>244</v>
      </c>
      <c r="B32" s="12" t="s">
        <v>1</v>
      </c>
      <c r="C32" s="12" t="s">
        <v>41</v>
      </c>
      <c r="D32" s="12" t="s">
        <v>245</v>
      </c>
      <c r="E32" s="12" t="s">
        <v>246</v>
      </c>
      <c r="F32" s="12" t="s">
        <v>247</v>
      </c>
      <c r="G32" s="12" t="s">
        <v>248</v>
      </c>
      <c r="H32" s="12" t="s">
        <v>249</v>
      </c>
      <c r="I32" s="12" t="s">
        <v>132</v>
      </c>
      <c r="J32" s="12" t="s">
        <v>122</v>
      </c>
      <c r="K32" s="12" t="s">
        <v>243</v>
      </c>
      <c r="L32" s="12" t="s">
        <v>203</v>
      </c>
    </row>
    <row r="33" ht="15.75" customHeight="1">
      <c r="A33" s="12" t="s">
        <v>250</v>
      </c>
      <c r="B33" s="12" t="s">
        <v>1</v>
      </c>
      <c r="C33" s="12" t="s">
        <v>41</v>
      </c>
      <c r="D33" s="12" t="s">
        <v>251</v>
      </c>
      <c r="E33" s="12" t="s">
        <v>118</v>
      </c>
      <c r="F33" s="12" t="s">
        <v>119</v>
      </c>
      <c r="G33" s="12" t="s">
        <v>252</v>
      </c>
      <c r="H33" s="12" t="s">
        <v>253</v>
      </c>
      <c r="I33" s="12" t="s">
        <v>132</v>
      </c>
      <c r="J33" s="12" t="s">
        <v>122</v>
      </c>
      <c r="K33" s="12" t="s">
        <v>243</v>
      </c>
      <c r="L33" s="12" t="s">
        <v>203</v>
      </c>
    </row>
    <row r="34" ht="15.75" customHeight="1">
      <c r="A34" s="12" t="s">
        <v>254</v>
      </c>
      <c r="B34" s="12" t="s">
        <v>1</v>
      </c>
      <c r="C34" s="12" t="s">
        <v>41</v>
      </c>
      <c r="D34" s="12" t="s">
        <v>255</v>
      </c>
      <c r="E34" s="12" t="s">
        <v>118</v>
      </c>
      <c r="F34" s="12" t="s">
        <v>137</v>
      </c>
      <c r="G34" s="12" t="s">
        <v>256</v>
      </c>
      <c r="H34" s="12" t="s">
        <v>257</v>
      </c>
      <c r="I34" s="12" t="s">
        <v>132</v>
      </c>
      <c r="J34" s="12" t="s">
        <v>122</v>
      </c>
      <c r="K34" s="12" t="s">
        <v>243</v>
      </c>
      <c r="L34" s="12" t="s">
        <v>203</v>
      </c>
    </row>
    <row r="35" ht="15.75" customHeight="1">
      <c r="A35" s="12" t="s">
        <v>258</v>
      </c>
      <c r="B35" s="12" t="s">
        <v>1</v>
      </c>
      <c r="C35" s="12" t="s">
        <v>41</v>
      </c>
      <c r="D35" s="12" t="s">
        <v>259</v>
      </c>
      <c r="E35" s="12" t="s">
        <v>118</v>
      </c>
      <c r="F35" s="12" t="s">
        <v>260</v>
      </c>
      <c r="G35" s="12" t="s">
        <v>261</v>
      </c>
      <c r="H35" s="12" t="s">
        <v>262</v>
      </c>
      <c r="I35" s="12" t="s">
        <v>119</v>
      </c>
      <c r="J35" s="12" t="s">
        <v>122</v>
      </c>
      <c r="K35" s="12" t="s">
        <v>243</v>
      </c>
      <c r="L35" s="12" t="s">
        <v>203</v>
      </c>
    </row>
    <row r="36" ht="15.75" customHeight="1">
      <c r="A36" s="12" t="s">
        <v>263</v>
      </c>
      <c r="B36" s="12" t="s">
        <v>1</v>
      </c>
      <c r="C36" s="12" t="s">
        <v>41</v>
      </c>
      <c r="D36" s="12" t="s">
        <v>264</v>
      </c>
      <c r="E36" s="12" t="s">
        <v>118</v>
      </c>
      <c r="F36" s="12" t="s">
        <v>265</v>
      </c>
      <c r="G36" s="12" t="s">
        <v>261</v>
      </c>
      <c r="H36" s="12" t="s">
        <v>262</v>
      </c>
      <c r="I36" s="12" t="s">
        <v>119</v>
      </c>
      <c r="J36" s="12" t="s">
        <v>122</v>
      </c>
      <c r="K36" s="12" t="s">
        <v>243</v>
      </c>
      <c r="L36" s="12" t="s">
        <v>203</v>
      </c>
    </row>
    <row r="37" ht="15.75" customHeight="1">
      <c r="A37" s="12" t="s">
        <v>266</v>
      </c>
      <c r="B37" s="12" t="s">
        <v>1</v>
      </c>
      <c r="C37" s="12" t="s">
        <v>41</v>
      </c>
      <c r="D37" s="12" t="s">
        <v>267</v>
      </c>
      <c r="E37" s="12" t="s">
        <v>118</v>
      </c>
      <c r="F37" s="12" t="s">
        <v>268</v>
      </c>
      <c r="G37" s="12" t="s">
        <v>269</v>
      </c>
      <c r="H37" s="12" t="s">
        <v>270</v>
      </c>
      <c r="I37" s="12" t="s">
        <v>119</v>
      </c>
      <c r="J37" s="12" t="s">
        <v>122</v>
      </c>
      <c r="K37" s="12" t="s">
        <v>271</v>
      </c>
      <c r="L37" s="12" t="s">
        <v>203</v>
      </c>
    </row>
    <row r="38" ht="15.75" customHeight="1">
      <c r="A38" s="12" t="s">
        <v>272</v>
      </c>
      <c r="B38" s="12" t="s">
        <v>1</v>
      </c>
      <c r="C38" s="12" t="s">
        <v>41</v>
      </c>
      <c r="D38" s="12" t="s">
        <v>273</v>
      </c>
      <c r="E38" s="12" t="s">
        <v>118</v>
      </c>
      <c r="F38" s="12" t="s">
        <v>274</v>
      </c>
      <c r="G38" s="12" t="s">
        <v>275</v>
      </c>
      <c r="H38" s="12" t="s">
        <v>276</v>
      </c>
      <c r="I38" s="12" t="s">
        <v>119</v>
      </c>
      <c r="J38" s="12" t="s">
        <v>122</v>
      </c>
      <c r="K38" s="12" t="s">
        <v>271</v>
      </c>
      <c r="L38" s="12" t="s">
        <v>203</v>
      </c>
    </row>
    <row r="39" ht="15.75" customHeight="1">
      <c r="A39" s="12" t="s">
        <v>277</v>
      </c>
      <c r="B39" s="12" t="s">
        <v>1</v>
      </c>
      <c r="C39" s="12" t="s">
        <v>41</v>
      </c>
      <c r="D39" s="12" t="s">
        <v>278</v>
      </c>
      <c r="E39" s="12" t="s">
        <v>279</v>
      </c>
      <c r="F39" s="12" t="s">
        <v>119</v>
      </c>
      <c r="G39" s="12" t="s">
        <v>280</v>
      </c>
      <c r="H39" s="12" t="s">
        <v>281</v>
      </c>
      <c r="I39" s="12" t="s">
        <v>132</v>
      </c>
      <c r="J39" s="12" t="s">
        <v>122</v>
      </c>
      <c r="K39" s="12"/>
      <c r="L39" s="12" t="s">
        <v>203</v>
      </c>
    </row>
    <row r="40" ht="15.75" customHeight="1">
      <c r="A40" s="12" t="s">
        <v>282</v>
      </c>
      <c r="B40" s="12" t="s">
        <v>1</v>
      </c>
      <c r="C40" s="12" t="s">
        <v>41</v>
      </c>
      <c r="D40" s="12" t="s">
        <v>283</v>
      </c>
      <c r="E40" s="12" t="s">
        <v>279</v>
      </c>
      <c r="F40" s="12" t="s">
        <v>119</v>
      </c>
      <c r="G40" s="12" t="s">
        <v>284</v>
      </c>
      <c r="H40" s="12" t="s">
        <v>285</v>
      </c>
      <c r="I40" s="12" t="s">
        <v>132</v>
      </c>
      <c r="J40" s="12" t="s">
        <v>180</v>
      </c>
      <c r="K40" s="12"/>
      <c r="L40" s="12" t="s">
        <v>203</v>
      </c>
    </row>
    <row r="41" ht="15.75" customHeight="1">
      <c r="A41" s="12" t="s">
        <v>286</v>
      </c>
      <c r="B41" s="12" t="s">
        <v>1</v>
      </c>
      <c r="C41" s="12" t="s">
        <v>41</v>
      </c>
      <c r="D41" s="12" t="s">
        <v>287</v>
      </c>
      <c r="E41" s="12" t="s">
        <v>288</v>
      </c>
      <c r="F41" s="12" t="s">
        <v>119</v>
      </c>
      <c r="G41" s="12" t="s">
        <v>289</v>
      </c>
      <c r="H41" s="12" t="s">
        <v>290</v>
      </c>
      <c r="I41" s="12" t="s">
        <v>132</v>
      </c>
      <c r="J41" s="12" t="s">
        <v>122</v>
      </c>
      <c r="K41" s="12"/>
      <c r="L41" s="12" t="s">
        <v>203</v>
      </c>
    </row>
    <row r="42" ht="15.75" customHeight="1">
      <c r="A42" s="12" t="s">
        <v>291</v>
      </c>
      <c r="B42" s="12" t="s">
        <v>1</v>
      </c>
      <c r="C42" s="12" t="s">
        <v>41</v>
      </c>
      <c r="D42" s="12" t="s">
        <v>292</v>
      </c>
      <c r="E42" s="12" t="s">
        <v>288</v>
      </c>
      <c r="F42" s="12" t="s">
        <v>293</v>
      </c>
      <c r="G42" s="12" t="s">
        <v>294</v>
      </c>
      <c r="H42" s="12" t="s">
        <v>295</v>
      </c>
      <c r="I42" s="12" t="s">
        <v>132</v>
      </c>
      <c r="J42" s="12" t="s">
        <v>122</v>
      </c>
      <c r="K42" s="12"/>
      <c r="L42" s="12" t="s">
        <v>203</v>
      </c>
    </row>
    <row r="43" ht="15.75" customHeight="1">
      <c r="A43" s="12" t="s">
        <v>296</v>
      </c>
      <c r="B43" s="12" t="s">
        <v>37</v>
      </c>
      <c r="C43" s="12" t="s">
        <v>41</v>
      </c>
      <c r="D43" s="12" t="s">
        <v>297</v>
      </c>
      <c r="E43" s="12" t="s">
        <v>298</v>
      </c>
      <c r="F43" s="12" t="s">
        <v>299</v>
      </c>
      <c r="G43" s="12" t="s">
        <v>300</v>
      </c>
      <c r="H43" s="12" t="s">
        <v>301</v>
      </c>
      <c r="I43" s="12" t="s">
        <v>302</v>
      </c>
      <c r="J43" s="12" t="s">
        <v>122</v>
      </c>
      <c r="K43" s="12"/>
      <c r="L43" s="12" t="s">
        <v>303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43">
    <cfRule type="expression" dxfId="0" priority="1">
      <formula>B4="Unit"</formula>
    </cfRule>
  </conditionalFormatting>
  <conditionalFormatting sqref="B4:B43">
    <cfRule type="expression" dxfId="1" priority="2">
      <formula>B4="Integration"</formula>
    </cfRule>
  </conditionalFormatting>
  <conditionalFormatting sqref="B4:B43">
    <cfRule type="expression" dxfId="2" priority="3">
      <formula>B4="System"</formula>
    </cfRule>
  </conditionalFormatting>
  <conditionalFormatting sqref="B4:B43">
    <cfRule type="expression" dxfId="3" priority="4">
      <formula>B4="UAT"</formula>
    </cfRule>
  </conditionalFormatting>
  <dataValidations>
    <dataValidation type="list" allowBlank="1" sqref="B4:B43">
      <formula1>"Unit,Integration,System,UAT"</formula1>
    </dataValidation>
    <dataValidation type="list" allowBlank="1" sqref="I4:I43">
      <formula1>"N/A,standard_user,locked_out_user,problem_user,performance_glitch_user,error_user,visual_user,Multiple Relevant Users,All Applicable Users,Representative User"</formula1>
    </dataValidation>
    <dataValidation type="list" allowBlank="1" sqref="L4:L43">
      <formula1>"No,Yes,Candidate"</formula1>
    </dataValidation>
    <dataValidation type="list" allowBlank="1" sqref="J4:J43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304</v>
      </c>
    </row>
    <row r="2" ht="21.75" customHeight="1">
      <c r="A2" s="6" t="s">
        <v>305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306</v>
      </c>
      <c r="B4" s="12" t="s">
        <v>32</v>
      </c>
      <c r="C4" s="12" t="s">
        <v>43</v>
      </c>
      <c r="D4" s="12" t="s">
        <v>307</v>
      </c>
      <c r="E4" s="12" t="s">
        <v>279</v>
      </c>
      <c r="F4" s="12" t="s">
        <v>119</v>
      </c>
      <c r="G4" s="12" t="s">
        <v>308</v>
      </c>
      <c r="H4" s="12" t="s">
        <v>309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310</v>
      </c>
      <c r="B5" s="12" t="s">
        <v>32</v>
      </c>
      <c r="C5" s="12" t="s">
        <v>43</v>
      </c>
      <c r="D5" s="12" t="s">
        <v>311</v>
      </c>
      <c r="E5" s="12" t="s">
        <v>312</v>
      </c>
      <c r="F5" s="12" t="s">
        <v>119</v>
      </c>
      <c r="G5" s="12" t="s">
        <v>308</v>
      </c>
      <c r="H5" s="12" t="s">
        <v>313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314</v>
      </c>
      <c r="B6" s="12" t="s">
        <v>32</v>
      </c>
      <c r="C6" s="12" t="s">
        <v>43</v>
      </c>
      <c r="D6" s="12" t="s">
        <v>315</v>
      </c>
      <c r="E6" s="12" t="s">
        <v>316</v>
      </c>
      <c r="F6" s="12" t="s">
        <v>317</v>
      </c>
      <c r="G6" s="12" t="s">
        <v>318</v>
      </c>
      <c r="H6" s="12" t="s">
        <v>319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320</v>
      </c>
      <c r="B7" s="12" t="s">
        <v>32</v>
      </c>
      <c r="C7" s="12" t="s">
        <v>43</v>
      </c>
      <c r="D7" s="12" t="s">
        <v>321</v>
      </c>
      <c r="E7" s="12" t="s">
        <v>316</v>
      </c>
      <c r="F7" s="12" t="s">
        <v>317</v>
      </c>
      <c r="G7" s="12" t="s">
        <v>318</v>
      </c>
      <c r="H7" s="12" t="s">
        <v>322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323</v>
      </c>
      <c r="B8" s="12" t="s">
        <v>32</v>
      </c>
      <c r="C8" s="12" t="s">
        <v>43</v>
      </c>
      <c r="D8" s="12" t="s">
        <v>324</v>
      </c>
      <c r="E8" s="12" t="s">
        <v>316</v>
      </c>
      <c r="F8" s="12" t="s">
        <v>317</v>
      </c>
      <c r="G8" s="12" t="s">
        <v>318</v>
      </c>
      <c r="H8" s="12" t="s">
        <v>325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326</v>
      </c>
      <c r="B9" s="12" t="s">
        <v>32</v>
      </c>
      <c r="C9" s="12" t="s">
        <v>43</v>
      </c>
      <c r="D9" s="12" t="s">
        <v>327</v>
      </c>
      <c r="E9" s="12" t="s">
        <v>316</v>
      </c>
      <c r="F9" s="12" t="s">
        <v>317</v>
      </c>
      <c r="G9" s="12" t="s">
        <v>318</v>
      </c>
      <c r="H9" s="12" t="s">
        <v>328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329</v>
      </c>
      <c r="B10" s="12" t="s">
        <v>32</v>
      </c>
      <c r="C10" s="12" t="s">
        <v>43</v>
      </c>
      <c r="D10" s="12" t="s">
        <v>330</v>
      </c>
      <c r="E10" s="12" t="s">
        <v>331</v>
      </c>
      <c r="F10" s="12" t="s">
        <v>332</v>
      </c>
      <c r="G10" s="12" t="s">
        <v>318</v>
      </c>
      <c r="H10" s="12" t="s">
        <v>333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334</v>
      </c>
      <c r="B11" s="12" t="s">
        <v>32</v>
      </c>
      <c r="C11" s="12" t="s">
        <v>43</v>
      </c>
      <c r="D11" s="12" t="s">
        <v>335</v>
      </c>
      <c r="E11" s="12" t="s">
        <v>316</v>
      </c>
      <c r="F11" s="12" t="s">
        <v>336</v>
      </c>
      <c r="G11" s="12" t="s">
        <v>337</v>
      </c>
      <c r="H11" s="12" t="s">
        <v>338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339</v>
      </c>
      <c r="B12" s="12" t="s">
        <v>32</v>
      </c>
      <c r="C12" s="12" t="s">
        <v>43</v>
      </c>
      <c r="D12" s="12" t="s">
        <v>340</v>
      </c>
      <c r="E12" s="12" t="s">
        <v>316</v>
      </c>
      <c r="F12" s="12" t="s">
        <v>336</v>
      </c>
      <c r="G12" s="12" t="s">
        <v>341</v>
      </c>
      <c r="H12" s="12" t="s">
        <v>342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343</v>
      </c>
      <c r="B13" s="12" t="s">
        <v>32</v>
      </c>
      <c r="C13" s="12" t="s">
        <v>43</v>
      </c>
      <c r="D13" s="12" t="s">
        <v>344</v>
      </c>
      <c r="E13" s="12" t="s">
        <v>312</v>
      </c>
      <c r="F13" s="12" t="s">
        <v>119</v>
      </c>
      <c r="G13" s="12" t="s">
        <v>345</v>
      </c>
      <c r="H13" s="12" t="s">
        <v>346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347</v>
      </c>
      <c r="B14" s="12" t="s">
        <v>1</v>
      </c>
      <c r="C14" s="12" t="s">
        <v>43</v>
      </c>
      <c r="D14" s="12" t="s">
        <v>348</v>
      </c>
      <c r="E14" s="12" t="s">
        <v>279</v>
      </c>
      <c r="F14" s="12" t="s">
        <v>349</v>
      </c>
      <c r="G14" s="12" t="s">
        <v>350</v>
      </c>
      <c r="H14" s="12" t="s">
        <v>351</v>
      </c>
      <c r="I14" s="12" t="s">
        <v>132</v>
      </c>
      <c r="J14" s="12" t="s">
        <v>122</v>
      </c>
      <c r="K14" s="12" t="s">
        <v>352</v>
      </c>
      <c r="L14" s="12" t="s">
        <v>203</v>
      </c>
    </row>
    <row r="15">
      <c r="A15" s="12" t="s">
        <v>353</v>
      </c>
      <c r="B15" s="12" t="s">
        <v>1</v>
      </c>
      <c r="C15" s="12" t="s">
        <v>43</v>
      </c>
      <c r="D15" s="12" t="s">
        <v>354</v>
      </c>
      <c r="E15" s="12" t="s">
        <v>279</v>
      </c>
      <c r="F15" s="12" t="s">
        <v>349</v>
      </c>
      <c r="G15" s="12" t="s">
        <v>350</v>
      </c>
      <c r="H15" s="12" t="s">
        <v>355</v>
      </c>
      <c r="I15" s="12" t="s">
        <v>132</v>
      </c>
      <c r="J15" s="12" t="s">
        <v>122</v>
      </c>
      <c r="K15" s="12" t="s">
        <v>352</v>
      </c>
      <c r="L15" s="12" t="s">
        <v>203</v>
      </c>
    </row>
    <row r="16">
      <c r="A16" s="12" t="s">
        <v>356</v>
      </c>
      <c r="B16" s="12" t="s">
        <v>34</v>
      </c>
      <c r="C16" s="12" t="s">
        <v>43</v>
      </c>
      <c r="D16" s="12" t="s">
        <v>357</v>
      </c>
      <c r="E16" s="12" t="s">
        <v>358</v>
      </c>
      <c r="F16" s="12" t="s">
        <v>359</v>
      </c>
      <c r="G16" s="12" t="s">
        <v>360</v>
      </c>
      <c r="H16" s="12" t="s">
        <v>361</v>
      </c>
      <c r="I16" s="12" t="s">
        <v>132</v>
      </c>
      <c r="J16" s="12" t="s">
        <v>122</v>
      </c>
      <c r="K16" s="12"/>
      <c r="L16" s="12" t="s">
        <v>203</v>
      </c>
    </row>
    <row r="17">
      <c r="A17" s="12" t="s">
        <v>362</v>
      </c>
      <c r="B17" s="12" t="s">
        <v>34</v>
      </c>
      <c r="C17" s="12" t="s">
        <v>43</v>
      </c>
      <c r="D17" s="12" t="s">
        <v>363</v>
      </c>
      <c r="E17" s="12" t="s">
        <v>364</v>
      </c>
      <c r="F17" s="12" t="s">
        <v>359</v>
      </c>
      <c r="G17" s="12" t="s">
        <v>365</v>
      </c>
      <c r="H17" s="12" t="s">
        <v>366</v>
      </c>
      <c r="I17" s="12" t="s">
        <v>132</v>
      </c>
      <c r="J17" s="12" t="s">
        <v>122</v>
      </c>
      <c r="K17" s="12"/>
      <c r="L17" s="12" t="s">
        <v>203</v>
      </c>
    </row>
    <row r="18">
      <c r="A18" s="12" t="s">
        <v>367</v>
      </c>
      <c r="B18" s="12" t="s">
        <v>1</v>
      </c>
      <c r="C18" s="12" t="s">
        <v>43</v>
      </c>
      <c r="D18" s="12" t="s">
        <v>368</v>
      </c>
      <c r="E18" s="12" t="s">
        <v>369</v>
      </c>
      <c r="F18" s="12" t="s">
        <v>119</v>
      </c>
      <c r="G18" s="12" t="s">
        <v>370</v>
      </c>
      <c r="H18" s="12" t="s">
        <v>371</v>
      </c>
      <c r="I18" s="12" t="s">
        <v>132</v>
      </c>
      <c r="J18" s="12" t="s">
        <v>122</v>
      </c>
      <c r="K18" s="12"/>
      <c r="L18" s="12" t="s">
        <v>203</v>
      </c>
    </row>
    <row r="19">
      <c r="A19" s="12" t="s">
        <v>372</v>
      </c>
      <c r="B19" s="12" t="s">
        <v>1</v>
      </c>
      <c r="C19" s="12" t="s">
        <v>43</v>
      </c>
      <c r="D19" s="12" t="s">
        <v>373</v>
      </c>
      <c r="E19" s="12" t="s">
        <v>312</v>
      </c>
      <c r="F19" s="12" t="s">
        <v>374</v>
      </c>
      <c r="G19" s="12" t="s">
        <v>375</v>
      </c>
      <c r="H19" s="12" t="s">
        <v>376</v>
      </c>
      <c r="I19" s="12" t="s">
        <v>132</v>
      </c>
      <c r="J19" s="12" t="s">
        <v>122</v>
      </c>
      <c r="K19" s="12"/>
      <c r="L19" s="12" t="s">
        <v>203</v>
      </c>
    </row>
    <row r="20">
      <c r="A20" s="12" t="s">
        <v>377</v>
      </c>
      <c r="B20" s="12" t="s">
        <v>1</v>
      </c>
      <c r="C20" s="12" t="s">
        <v>43</v>
      </c>
      <c r="D20" s="12" t="s">
        <v>378</v>
      </c>
      <c r="E20" s="12" t="s">
        <v>379</v>
      </c>
      <c r="F20" s="12" t="s">
        <v>119</v>
      </c>
      <c r="G20" s="12" t="s">
        <v>380</v>
      </c>
      <c r="H20" s="12" t="s">
        <v>381</v>
      </c>
      <c r="I20" s="12" t="s">
        <v>132</v>
      </c>
      <c r="J20" s="12" t="s">
        <v>122</v>
      </c>
      <c r="K20" s="12"/>
      <c r="L20" s="12" t="s">
        <v>203</v>
      </c>
    </row>
    <row r="21" ht="15.75" customHeight="1">
      <c r="A21" s="12" t="s">
        <v>382</v>
      </c>
      <c r="B21" s="12" t="s">
        <v>1</v>
      </c>
      <c r="C21" s="12" t="s">
        <v>43</v>
      </c>
      <c r="D21" s="12" t="s">
        <v>383</v>
      </c>
      <c r="E21" s="12" t="s">
        <v>312</v>
      </c>
      <c r="F21" s="12" t="s">
        <v>336</v>
      </c>
      <c r="G21" s="12" t="s">
        <v>384</v>
      </c>
      <c r="H21" s="12" t="s">
        <v>385</v>
      </c>
      <c r="I21" s="12" t="s">
        <v>132</v>
      </c>
      <c r="J21" s="12" t="s">
        <v>122</v>
      </c>
      <c r="K21" s="12"/>
      <c r="L21" s="12" t="s">
        <v>203</v>
      </c>
    </row>
    <row r="22" ht="15.75" customHeight="1">
      <c r="A22" s="12" t="s">
        <v>386</v>
      </c>
      <c r="B22" s="12" t="s">
        <v>1</v>
      </c>
      <c r="C22" s="12" t="s">
        <v>43</v>
      </c>
      <c r="D22" s="12" t="s">
        <v>387</v>
      </c>
      <c r="E22" s="12" t="s">
        <v>316</v>
      </c>
      <c r="F22" s="12" t="s">
        <v>332</v>
      </c>
      <c r="G22" s="12" t="s">
        <v>388</v>
      </c>
      <c r="H22" s="12" t="s">
        <v>389</v>
      </c>
      <c r="I22" s="12" t="s">
        <v>132</v>
      </c>
      <c r="J22" s="12" t="s">
        <v>122</v>
      </c>
      <c r="K22" s="12"/>
      <c r="L22" s="12" t="s">
        <v>203</v>
      </c>
    </row>
    <row r="23" ht="15.75" customHeight="1">
      <c r="A23" s="12" t="s">
        <v>390</v>
      </c>
      <c r="B23" s="12" t="s">
        <v>1</v>
      </c>
      <c r="C23" s="12" t="s">
        <v>43</v>
      </c>
      <c r="D23" s="12" t="s">
        <v>391</v>
      </c>
      <c r="E23" s="12" t="s">
        <v>316</v>
      </c>
      <c r="F23" s="12" t="s">
        <v>332</v>
      </c>
      <c r="G23" s="12" t="s">
        <v>392</v>
      </c>
      <c r="H23" s="12" t="s">
        <v>393</v>
      </c>
      <c r="I23" s="12" t="s">
        <v>132</v>
      </c>
      <c r="J23" s="12" t="s">
        <v>122</v>
      </c>
      <c r="K23" s="12"/>
      <c r="L23" s="12" t="s">
        <v>203</v>
      </c>
    </row>
    <row r="24" ht="15.75" customHeight="1">
      <c r="A24" s="12" t="s">
        <v>394</v>
      </c>
      <c r="B24" s="12" t="s">
        <v>1</v>
      </c>
      <c r="C24" s="12" t="s">
        <v>43</v>
      </c>
      <c r="D24" s="12" t="s">
        <v>395</v>
      </c>
      <c r="E24" s="12" t="s">
        <v>369</v>
      </c>
      <c r="F24" s="12" t="s">
        <v>396</v>
      </c>
      <c r="G24" s="12" t="s">
        <v>397</v>
      </c>
      <c r="H24" s="12" t="s">
        <v>398</v>
      </c>
      <c r="I24" s="12" t="s">
        <v>132</v>
      </c>
      <c r="J24" s="12" t="s">
        <v>122</v>
      </c>
      <c r="K24" s="12" t="s">
        <v>243</v>
      </c>
      <c r="L24" s="12" t="s">
        <v>203</v>
      </c>
    </row>
    <row r="25" ht="15.75" customHeight="1">
      <c r="A25" s="12" t="s">
        <v>399</v>
      </c>
      <c r="B25" s="12" t="s">
        <v>1</v>
      </c>
      <c r="C25" s="12" t="s">
        <v>43</v>
      </c>
      <c r="D25" s="12" t="s">
        <v>400</v>
      </c>
      <c r="E25" s="12" t="s">
        <v>401</v>
      </c>
      <c r="F25" s="12" t="s">
        <v>402</v>
      </c>
      <c r="G25" s="12" t="s">
        <v>403</v>
      </c>
      <c r="H25" s="12" t="s">
        <v>404</v>
      </c>
      <c r="I25" s="12" t="s">
        <v>132</v>
      </c>
      <c r="J25" s="12" t="s">
        <v>122</v>
      </c>
      <c r="K25" s="12" t="s">
        <v>243</v>
      </c>
      <c r="L25" s="12" t="s">
        <v>203</v>
      </c>
    </row>
    <row r="26" ht="15.75" customHeight="1">
      <c r="A26" s="12" t="s">
        <v>405</v>
      </c>
      <c r="B26" s="12" t="s">
        <v>1</v>
      </c>
      <c r="C26" s="12" t="s">
        <v>43</v>
      </c>
      <c r="D26" s="12" t="s">
        <v>406</v>
      </c>
      <c r="E26" s="12" t="s">
        <v>401</v>
      </c>
      <c r="F26" s="12" t="s">
        <v>407</v>
      </c>
      <c r="G26" s="12" t="s">
        <v>403</v>
      </c>
      <c r="H26" s="12" t="s">
        <v>408</v>
      </c>
      <c r="I26" s="12" t="s">
        <v>132</v>
      </c>
      <c r="J26" s="12" t="s">
        <v>122</v>
      </c>
      <c r="K26" s="12" t="s">
        <v>243</v>
      </c>
      <c r="L26" s="12" t="s">
        <v>203</v>
      </c>
    </row>
    <row r="27" ht="15.75" customHeight="1">
      <c r="A27" s="12" t="s">
        <v>409</v>
      </c>
      <c r="B27" s="12" t="s">
        <v>37</v>
      </c>
      <c r="C27" s="12" t="s">
        <v>43</v>
      </c>
      <c r="D27" s="12" t="s">
        <v>410</v>
      </c>
      <c r="E27" s="12" t="s">
        <v>411</v>
      </c>
      <c r="F27" s="12" t="s">
        <v>412</v>
      </c>
      <c r="G27" s="12" t="s">
        <v>413</v>
      </c>
      <c r="H27" s="12" t="s">
        <v>414</v>
      </c>
      <c r="I27" s="12" t="s">
        <v>302</v>
      </c>
      <c r="J27" s="12" t="s">
        <v>122</v>
      </c>
      <c r="K27" s="12"/>
      <c r="L27" s="12" t="s">
        <v>303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27">
    <cfRule type="expression" dxfId="0" priority="1">
      <formula>B4="Unit"</formula>
    </cfRule>
  </conditionalFormatting>
  <conditionalFormatting sqref="B4:B27">
    <cfRule type="expression" dxfId="1" priority="2">
      <formula>B4="Integration"</formula>
    </cfRule>
  </conditionalFormatting>
  <conditionalFormatting sqref="B4:B27">
    <cfRule type="expression" dxfId="2" priority="3">
      <formula>B4="System"</formula>
    </cfRule>
  </conditionalFormatting>
  <conditionalFormatting sqref="B4:B27">
    <cfRule type="expression" dxfId="3" priority="4">
      <formula>B4="UAT"</formula>
    </cfRule>
  </conditionalFormatting>
  <dataValidations>
    <dataValidation type="list" allowBlank="1" sqref="B4:B27">
      <formula1>"Unit,Integration,System,UAT"</formula1>
    </dataValidation>
    <dataValidation type="list" allowBlank="1" sqref="I4:I27">
      <formula1>"N/A,standard_user,locked_out_user,problem_user,performance_glitch_user,error_user,visual_user,Multiple Relevant Users,All Applicable Users,Representative User"</formula1>
    </dataValidation>
    <dataValidation type="list" allowBlank="1" sqref="L4:L27">
      <formula1>"No,Yes,Candidate"</formula1>
    </dataValidation>
    <dataValidation type="list" allowBlank="1" sqref="J4:J27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415</v>
      </c>
    </row>
    <row r="2" ht="21.75" customHeight="1">
      <c r="A2" s="6" t="s">
        <v>416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417</v>
      </c>
      <c r="B4" s="12" t="s">
        <v>32</v>
      </c>
      <c r="C4" s="12" t="s">
        <v>45</v>
      </c>
      <c r="D4" s="12" t="s">
        <v>418</v>
      </c>
      <c r="E4" s="12" t="s">
        <v>369</v>
      </c>
      <c r="F4" s="12" t="s">
        <v>119</v>
      </c>
      <c r="G4" s="12" t="s">
        <v>419</v>
      </c>
      <c r="H4" s="12" t="s">
        <v>420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421</v>
      </c>
      <c r="B5" s="12" t="s">
        <v>32</v>
      </c>
      <c r="C5" s="12" t="s">
        <v>45</v>
      </c>
      <c r="D5" s="12" t="s">
        <v>422</v>
      </c>
      <c r="E5" s="12" t="s">
        <v>423</v>
      </c>
      <c r="F5" s="12" t="s">
        <v>424</v>
      </c>
      <c r="G5" s="12" t="s">
        <v>425</v>
      </c>
      <c r="H5" s="12" t="s">
        <v>426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427</v>
      </c>
      <c r="B6" s="12" t="s">
        <v>1</v>
      </c>
      <c r="C6" s="12" t="s">
        <v>45</v>
      </c>
      <c r="D6" s="12" t="s">
        <v>428</v>
      </c>
      <c r="E6" s="12" t="s">
        <v>423</v>
      </c>
      <c r="F6" s="12" t="s">
        <v>424</v>
      </c>
      <c r="G6" s="12" t="s">
        <v>429</v>
      </c>
      <c r="H6" s="12" t="s">
        <v>430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431</v>
      </c>
      <c r="B7" s="12" t="s">
        <v>32</v>
      </c>
      <c r="C7" s="12" t="s">
        <v>45</v>
      </c>
      <c r="D7" s="12" t="s">
        <v>432</v>
      </c>
      <c r="E7" s="12" t="s">
        <v>423</v>
      </c>
      <c r="F7" s="12" t="s">
        <v>433</v>
      </c>
      <c r="G7" s="12" t="s">
        <v>425</v>
      </c>
      <c r="H7" s="12" t="s">
        <v>426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434</v>
      </c>
      <c r="B8" s="12" t="s">
        <v>1</v>
      </c>
      <c r="C8" s="12" t="s">
        <v>45</v>
      </c>
      <c r="D8" s="12" t="s">
        <v>435</v>
      </c>
      <c r="E8" s="12" t="s">
        <v>423</v>
      </c>
      <c r="F8" s="12" t="s">
        <v>433</v>
      </c>
      <c r="G8" s="12" t="s">
        <v>436</v>
      </c>
      <c r="H8" s="12" t="s">
        <v>437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438</v>
      </c>
      <c r="B9" s="12" t="s">
        <v>32</v>
      </c>
      <c r="C9" s="12" t="s">
        <v>45</v>
      </c>
      <c r="D9" s="12" t="s">
        <v>439</v>
      </c>
      <c r="E9" s="12" t="s">
        <v>423</v>
      </c>
      <c r="F9" s="12" t="s">
        <v>440</v>
      </c>
      <c r="G9" s="12" t="s">
        <v>425</v>
      </c>
      <c r="H9" s="12" t="s">
        <v>426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441</v>
      </c>
      <c r="B10" s="12" t="s">
        <v>1</v>
      </c>
      <c r="C10" s="12" t="s">
        <v>45</v>
      </c>
      <c r="D10" s="12" t="s">
        <v>442</v>
      </c>
      <c r="E10" s="12" t="s">
        <v>423</v>
      </c>
      <c r="F10" s="12" t="s">
        <v>440</v>
      </c>
      <c r="G10" s="12" t="s">
        <v>443</v>
      </c>
      <c r="H10" s="12" t="s">
        <v>444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445</v>
      </c>
      <c r="B11" s="12" t="s">
        <v>32</v>
      </c>
      <c r="C11" s="12" t="s">
        <v>45</v>
      </c>
      <c r="D11" s="12" t="s">
        <v>446</v>
      </c>
      <c r="E11" s="12" t="s">
        <v>423</v>
      </c>
      <c r="F11" s="12" t="s">
        <v>447</v>
      </c>
      <c r="G11" s="12" t="s">
        <v>425</v>
      </c>
      <c r="H11" s="12" t="s">
        <v>426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448</v>
      </c>
      <c r="B12" s="12" t="s">
        <v>1</v>
      </c>
      <c r="C12" s="12" t="s">
        <v>45</v>
      </c>
      <c r="D12" s="12" t="s">
        <v>449</v>
      </c>
      <c r="E12" s="12" t="s">
        <v>423</v>
      </c>
      <c r="F12" s="12" t="s">
        <v>447</v>
      </c>
      <c r="G12" s="12" t="s">
        <v>450</v>
      </c>
      <c r="H12" s="12" t="s">
        <v>451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452</v>
      </c>
      <c r="B13" s="12" t="s">
        <v>34</v>
      </c>
      <c r="C13" s="12" t="s">
        <v>45</v>
      </c>
      <c r="D13" s="12" t="s">
        <v>453</v>
      </c>
      <c r="E13" s="12" t="s">
        <v>369</v>
      </c>
      <c r="F13" s="12" t="s">
        <v>119</v>
      </c>
      <c r="G13" s="12" t="s">
        <v>454</v>
      </c>
      <c r="H13" s="12" t="s">
        <v>455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456</v>
      </c>
      <c r="B14" s="12" t="s">
        <v>34</v>
      </c>
      <c r="C14" s="12" t="s">
        <v>45</v>
      </c>
      <c r="D14" s="12" t="s">
        <v>457</v>
      </c>
      <c r="E14" s="12" t="s">
        <v>369</v>
      </c>
      <c r="F14" s="12" t="s">
        <v>119</v>
      </c>
      <c r="G14" s="12" t="s">
        <v>454</v>
      </c>
      <c r="H14" s="12" t="s">
        <v>458</v>
      </c>
      <c r="I14" s="12" t="s">
        <v>132</v>
      </c>
      <c r="J14" s="12" t="s">
        <v>122</v>
      </c>
      <c r="K14" s="12"/>
      <c r="L14" s="12" t="s">
        <v>203</v>
      </c>
    </row>
    <row r="15">
      <c r="A15" s="12" t="s">
        <v>459</v>
      </c>
      <c r="B15" s="12" t="s">
        <v>34</v>
      </c>
      <c r="C15" s="12" t="s">
        <v>45</v>
      </c>
      <c r="D15" s="12" t="s">
        <v>460</v>
      </c>
      <c r="E15" s="12" t="s">
        <v>369</v>
      </c>
      <c r="F15" s="12" t="s">
        <v>119</v>
      </c>
      <c r="G15" s="12" t="s">
        <v>454</v>
      </c>
      <c r="H15" s="12" t="s">
        <v>461</v>
      </c>
      <c r="I15" s="12" t="s">
        <v>132</v>
      </c>
      <c r="J15" s="12" t="s">
        <v>122</v>
      </c>
      <c r="K15" s="12"/>
      <c r="L15" s="12" t="s">
        <v>203</v>
      </c>
    </row>
    <row r="16">
      <c r="A16" s="12" t="s">
        <v>462</v>
      </c>
      <c r="B16" s="12" t="s">
        <v>1</v>
      </c>
      <c r="C16" s="12" t="s">
        <v>45</v>
      </c>
      <c r="D16" s="12" t="s">
        <v>463</v>
      </c>
      <c r="E16" s="12" t="s">
        <v>464</v>
      </c>
      <c r="F16" s="12" t="s">
        <v>465</v>
      </c>
      <c r="G16" s="12" t="s">
        <v>370</v>
      </c>
      <c r="H16" s="12" t="s">
        <v>466</v>
      </c>
      <c r="I16" s="12" t="s">
        <v>132</v>
      </c>
      <c r="J16" s="12" t="s">
        <v>122</v>
      </c>
      <c r="K16" s="12"/>
      <c r="L16" s="12" t="s">
        <v>203</v>
      </c>
    </row>
    <row r="17">
      <c r="A17" s="12" t="s">
        <v>467</v>
      </c>
      <c r="B17" s="12" t="s">
        <v>37</v>
      </c>
      <c r="C17" s="12" t="s">
        <v>45</v>
      </c>
      <c r="D17" s="12" t="s">
        <v>468</v>
      </c>
      <c r="E17" s="12" t="s">
        <v>312</v>
      </c>
      <c r="F17" s="12" t="s">
        <v>469</v>
      </c>
      <c r="G17" s="12" t="s">
        <v>470</v>
      </c>
      <c r="H17" s="12" t="s">
        <v>471</v>
      </c>
      <c r="I17" s="12" t="s">
        <v>302</v>
      </c>
      <c r="J17" s="12" t="s">
        <v>122</v>
      </c>
      <c r="K17" s="12"/>
      <c r="L17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7">
    <cfRule type="expression" dxfId="0" priority="1">
      <formula>B4="Unit"</formula>
    </cfRule>
  </conditionalFormatting>
  <conditionalFormatting sqref="B4:B17">
    <cfRule type="expression" dxfId="1" priority="2">
      <formula>B4="Integration"</formula>
    </cfRule>
  </conditionalFormatting>
  <conditionalFormatting sqref="B4:B17">
    <cfRule type="expression" dxfId="2" priority="3">
      <formula>B4="System"</formula>
    </cfRule>
  </conditionalFormatting>
  <conditionalFormatting sqref="B4:B17">
    <cfRule type="expression" dxfId="3" priority="4">
      <formula>B4="UAT"</formula>
    </cfRule>
  </conditionalFormatting>
  <dataValidations>
    <dataValidation type="list" allowBlank="1" sqref="B4:B17">
      <formula1>"Unit,Integration,System,UAT"</formula1>
    </dataValidation>
    <dataValidation type="list" allowBlank="1" sqref="I4:I17">
      <formula1>"N/A,standard_user,locked_out_user,problem_user,performance_glitch_user,error_user,visual_user,Multiple Relevant Users,All Applicable Users,Representative User"</formula1>
    </dataValidation>
    <dataValidation type="list" allowBlank="1" sqref="L4:L17">
      <formula1>"No,Yes,Candidate"</formula1>
    </dataValidation>
    <dataValidation type="list" allowBlank="1" sqref="J4:J17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472</v>
      </c>
    </row>
    <row r="2" ht="21.75" customHeight="1">
      <c r="A2" s="6" t="s">
        <v>473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474</v>
      </c>
      <c r="B4" s="12" t="s">
        <v>32</v>
      </c>
      <c r="C4" s="12" t="s">
        <v>47</v>
      </c>
      <c r="D4" s="12" t="s">
        <v>475</v>
      </c>
      <c r="E4" s="12" t="s">
        <v>476</v>
      </c>
      <c r="F4" s="12" t="s">
        <v>336</v>
      </c>
      <c r="G4" s="12" t="s">
        <v>477</v>
      </c>
      <c r="H4" s="12" t="s">
        <v>478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479</v>
      </c>
      <c r="B5" s="12" t="s">
        <v>32</v>
      </c>
      <c r="C5" s="12" t="s">
        <v>47</v>
      </c>
      <c r="D5" s="12" t="s">
        <v>480</v>
      </c>
      <c r="E5" s="12" t="s">
        <v>476</v>
      </c>
      <c r="F5" s="12" t="s">
        <v>336</v>
      </c>
      <c r="G5" s="12" t="s">
        <v>477</v>
      </c>
      <c r="H5" s="12" t="s">
        <v>481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482</v>
      </c>
      <c r="B6" s="12" t="s">
        <v>32</v>
      </c>
      <c r="C6" s="12" t="s">
        <v>47</v>
      </c>
      <c r="D6" s="12" t="s">
        <v>483</v>
      </c>
      <c r="E6" s="12" t="s">
        <v>476</v>
      </c>
      <c r="F6" s="12" t="s">
        <v>336</v>
      </c>
      <c r="G6" s="12" t="s">
        <v>477</v>
      </c>
      <c r="H6" s="12" t="s">
        <v>484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485</v>
      </c>
      <c r="B7" s="12" t="s">
        <v>32</v>
      </c>
      <c r="C7" s="12" t="s">
        <v>47</v>
      </c>
      <c r="D7" s="12" t="s">
        <v>486</v>
      </c>
      <c r="E7" s="12" t="s">
        <v>476</v>
      </c>
      <c r="F7" s="12" t="s">
        <v>336</v>
      </c>
      <c r="G7" s="12" t="s">
        <v>477</v>
      </c>
      <c r="H7" s="12" t="s">
        <v>487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488</v>
      </c>
      <c r="B8" s="12" t="s">
        <v>32</v>
      </c>
      <c r="C8" s="12" t="s">
        <v>47</v>
      </c>
      <c r="D8" s="12" t="s">
        <v>489</v>
      </c>
      <c r="E8" s="12" t="s">
        <v>476</v>
      </c>
      <c r="F8" s="12" t="s">
        <v>336</v>
      </c>
      <c r="G8" s="12" t="s">
        <v>477</v>
      </c>
      <c r="H8" s="12" t="s">
        <v>490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491</v>
      </c>
      <c r="B9" s="12" t="s">
        <v>32</v>
      </c>
      <c r="C9" s="12" t="s">
        <v>47</v>
      </c>
      <c r="D9" s="12" t="s">
        <v>492</v>
      </c>
      <c r="E9" s="12" t="s">
        <v>476</v>
      </c>
      <c r="F9" s="12" t="s">
        <v>336</v>
      </c>
      <c r="G9" s="12" t="s">
        <v>477</v>
      </c>
      <c r="H9" s="12" t="s">
        <v>493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494</v>
      </c>
      <c r="B10" s="12" t="s">
        <v>34</v>
      </c>
      <c r="C10" s="12" t="s">
        <v>47</v>
      </c>
      <c r="D10" s="12" t="s">
        <v>495</v>
      </c>
      <c r="E10" s="12" t="s">
        <v>496</v>
      </c>
      <c r="F10" s="12" t="s">
        <v>359</v>
      </c>
      <c r="G10" s="12" t="s">
        <v>497</v>
      </c>
      <c r="H10" s="12" t="s">
        <v>498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499</v>
      </c>
      <c r="B11" s="12" t="s">
        <v>34</v>
      </c>
      <c r="C11" s="12" t="s">
        <v>47</v>
      </c>
      <c r="D11" s="12" t="s">
        <v>500</v>
      </c>
      <c r="E11" s="12" t="s">
        <v>501</v>
      </c>
      <c r="F11" s="12" t="s">
        <v>359</v>
      </c>
      <c r="G11" s="12" t="s">
        <v>502</v>
      </c>
      <c r="H11" s="12" t="s">
        <v>503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504</v>
      </c>
      <c r="B12" s="12" t="s">
        <v>34</v>
      </c>
      <c r="C12" s="12" t="s">
        <v>47</v>
      </c>
      <c r="D12" s="12" t="s">
        <v>505</v>
      </c>
      <c r="E12" s="12" t="s">
        <v>496</v>
      </c>
      <c r="F12" s="12" t="s">
        <v>506</v>
      </c>
      <c r="G12" s="12" t="s">
        <v>507</v>
      </c>
      <c r="H12" s="12" t="s">
        <v>498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508</v>
      </c>
      <c r="B13" s="12" t="s">
        <v>34</v>
      </c>
      <c r="C13" s="12" t="s">
        <v>47</v>
      </c>
      <c r="D13" s="12" t="s">
        <v>509</v>
      </c>
      <c r="E13" s="12" t="s">
        <v>501</v>
      </c>
      <c r="F13" s="12" t="s">
        <v>506</v>
      </c>
      <c r="G13" s="12" t="s">
        <v>502</v>
      </c>
      <c r="H13" s="12" t="s">
        <v>503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510</v>
      </c>
      <c r="B14" s="12" t="s">
        <v>1</v>
      </c>
      <c r="C14" s="12" t="s">
        <v>47</v>
      </c>
      <c r="D14" s="12" t="s">
        <v>511</v>
      </c>
      <c r="E14" s="12" t="s">
        <v>512</v>
      </c>
      <c r="F14" s="12" t="s">
        <v>336</v>
      </c>
      <c r="G14" s="12" t="s">
        <v>513</v>
      </c>
      <c r="H14" s="12" t="s">
        <v>514</v>
      </c>
      <c r="I14" s="12" t="s">
        <v>132</v>
      </c>
      <c r="J14" s="12" t="s">
        <v>122</v>
      </c>
      <c r="K14" s="12"/>
      <c r="L14" s="12" t="s">
        <v>203</v>
      </c>
    </row>
    <row r="15">
      <c r="A15" s="12" t="s">
        <v>515</v>
      </c>
      <c r="B15" s="12" t="s">
        <v>1</v>
      </c>
      <c r="C15" s="12" t="s">
        <v>47</v>
      </c>
      <c r="D15" s="12" t="s">
        <v>516</v>
      </c>
      <c r="E15" s="12" t="s">
        <v>517</v>
      </c>
      <c r="F15" s="12" t="s">
        <v>336</v>
      </c>
      <c r="G15" s="12" t="s">
        <v>518</v>
      </c>
      <c r="H15" s="12" t="s">
        <v>519</v>
      </c>
      <c r="I15" s="12" t="s">
        <v>132</v>
      </c>
      <c r="J15" s="12" t="s">
        <v>122</v>
      </c>
      <c r="K15" s="12"/>
      <c r="L15" s="12" t="s">
        <v>203</v>
      </c>
    </row>
    <row r="16">
      <c r="A16" s="12" t="s">
        <v>520</v>
      </c>
      <c r="B16" s="12" t="s">
        <v>1</v>
      </c>
      <c r="C16" s="12" t="s">
        <v>47</v>
      </c>
      <c r="D16" s="12" t="s">
        <v>521</v>
      </c>
      <c r="E16" s="12" t="s">
        <v>522</v>
      </c>
      <c r="F16" s="12" t="s">
        <v>119</v>
      </c>
      <c r="G16" s="12" t="s">
        <v>523</v>
      </c>
      <c r="H16" s="12" t="s">
        <v>524</v>
      </c>
      <c r="I16" s="12" t="s">
        <v>132</v>
      </c>
      <c r="J16" s="12" t="s">
        <v>122</v>
      </c>
      <c r="K16" s="12"/>
      <c r="L16" s="12" t="s">
        <v>203</v>
      </c>
    </row>
    <row r="17">
      <c r="A17" s="12" t="s">
        <v>525</v>
      </c>
      <c r="B17" s="12" t="s">
        <v>1</v>
      </c>
      <c r="C17" s="12" t="s">
        <v>47</v>
      </c>
      <c r="D17" s="12" t="s">
        <v>526</v>
      </c>
      <c r="E17" s="12" t="s">
        <v>312</v>
      </c>
      <c r="F17" s="12" t="s">
        <v>527</v>
      </c>
      <c r="G17" s="12" t="s">
        <v>294</v>
      </c>
      <c r="H17" s="12" t="s">
        <v>528</v>
      </c>
      <c r="I17" s="12" t="s">
        <v>132</v>
      </c>
      <c r="J17" s="12" t="s">
        <v>122</v>
      </c>
      <c r="K17" s="12"/>
      <c r="L17" s="12" t="s">
        <v>203</v>
      </c>
    </row>
    <row r="18">
      <c r="A18" s="12" t="s">
        <v>529</v>
      </c>
      <c r="B18" s="12" t="s">
        <v>1</v>
      </c>
      <c r="C18" s="12" t="s">
        <v>47</v>
      </c>
      <c r="D18" s="12" t="s">
        <v>530</v>
      </c>
      <c r="E18" s="12" t="s">
        <v>522</v>
      </c>
      <c r="F18" s="12" t="s">
        <v>336</v>
      </c>
      <c r="G18" s="12" t="s">
        <v>531</v>
      </c>
      <c r="H18" s="12" t="s">
        <v>532</v>
      </c>
      <c r="I18" s="12" t="s">
        <v>132</v>
      </c>
      <c r="J18" s="12" t="s">
        <v>122</v>
      </c>
      <c r="K18" s="12" t="s">
        <v>243</v>
      </c>
      <c r="L18" s="12" t="s">
        <v>203</v>
      </c>
    </row>
    <row r="19">
      <c r="A19" s="12" t="s">
        <v>533</v>
      </c>
      <c r="B19" s="12" t="s">
        <v>37</v>
      </c>
      <c r="C19" s="12" t="s">
        <v>47</v>
      </c>
      <c r="D19" s="12" t="s">
        <v>534</v>
      </c>
      <c r="E19" s="12" t="s">
        <v>411</v>
      </c>
      <c r="F19" s="12" t="s">
        <v>535</v>
      </c>
      <c r="G19" s="12" t="s">
        <v>413</v>
      </c>
      <c r="H19" s="12" t="s">
        <v>536</v>
      </c>
      <c r="I19" s="12" t="s">
        <v>302</v>
      </c>
      <c r="J19" s="12" t="s">
        <v>122</v>
      </c>
      <c r="K19" s="12"/>
      <c r="L19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9">
    <cfRule type="expression" dxfId="0" priority="1">
      <formula>B4="Unit"</formula>
    </cfRule>
  </conditionalFormatting>
  <conditionalFormatting sqref="B4:B19">
    <cfRule type="expression" dxfId="1" priority="2">
      <formula>B4="Integration"</formula>
    </cfRule>
  </conditionalFormatting>
  <conditionalFormatting sqref="B4:B19">
    <cfRule type="expression" dxfId="2" priority="3">
      <formula>B4="System"</formula>
    </cfRule>
  </conditionalFormatting>
  <conditionalFormatting sqref="B4:B19">
    <cfRule type="expression" dxfId="3" priority="4">
      <formula>B4="UAT"</formula>
    </cfRule>
  </conditionalFormatting>
  <dataValidations>
    <dataValidation type="list" allowBlank="1" sqref="B4:B19">
      <formula1>"Unit,Integration,System,UAT"</formula1>
    </dataValidation>
    <dataValidation type="list" allowBlank="1" sqref="I4:I19">
      <formula1>"N/A,standard_user,locked_out_user,problem_user,performance_glitch_user,error_user,visual_user,Multiple Relevant Users,All Applicable Users,Representative User"</formula1>
    </dataValidation>
    <dataValidation type="list" allowBlank="1" sqref="L4:L19">
      <formula1>"No,Yes,Candidate"</formula1>
    </dataValidation>
    <dataValidation type="list" allowBlank="1" sqref="J4:J19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537</v>
      </c>
    </row>
    <row r="2" ht="21.75" customHeight="1">
      <c r="A2" s="6" t="s">
        <v>538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539</v>
      </c>
      <c r="B4" s="12" t="s">
        <v>32</v>
      </c>
      <c r="C4" s="12" t="s">
        <v>49</v>
      </c>
      <c r="D4" s="12" t="s">
        <v>540</v>
      </c>
      <c r="E4" s="12" t="s">
        <v>541</v>
      </c>
      <c r="F4" s="12" t="s">
        <v>542</v>
      </c>
      <c r="G4" s="12" t="s">
        <v>543</v>
      </c>
      <c r="H4" s="12" t="s">
        <v>544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545</v>
      </c>
      <c r="B5" s="12" t="s">
        <v>32</v>
      </c>
      <c r="C5" s="12" t="s">
        <v>49</v>
      </c>
      <c r="D5" s="12" t="s">
        <v>546</v>
      </c>
      <c r="E5" s="12" t="s">
        <v>541</v>
      </c>
      <c r="F5" s="12" t="s">
        <v>542</v>
      </c>
      <c r="G5" s="12" t="s">
        <v>543</v>
      </c>
      <c r="H5" s="12" t="s">
        <v>547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548</v>
      </c>
      <c r="B6" s="12" t="s">
        <v>32</v>
      </c>
      <c r="C6" s="12" t="s">
        <v>49</v>
      </c>
      <c r="D6" s="12" t="s">
        <v>549</v>
      </c>
      <c r="E6" s="12" t="s">
        <v>541</v>
      </c>
      <c r="F6" s="12" t="s">
        <v>542</v>
      </c>
      <c r="G6" s="12" t="s">
        <v>543</v>
      </c>
      <c r="H6" s="12" t="s">
        <v>550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551</v>
      </c>
      <c r="B7" s="12" t="s">
        <v>32</v>
      </c>
      <c r="C7" s="12" t="s">
        <v>49</v>
      </c>
      <c r="D7" s="12" t="s">
        <v>552</v>
      </c>
      <c r="E7" s="12" t="s">
        <v>541</v>
      </c>
      <c r="F7" s="12" t="s">
        <v>542</v>
      </c>
      <c r="G7" s="12" t="s">
        <v>543</v>
      </c>
      <c r="H7" s="12" t="s">
        <v>553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554</v>
      </c>
      <c r="B8" s="12" t="s">
        <v>32</v>
      </c>
      <c r="C8" s="12" t="s">
        <v>49</v>
      </c>
      <c r="D8" s="12" t="s">
        <v>555</v>
      </c>
      <c r="E8" s="12" t="s">
        <v>541</v>
      </c>
      <c r="F8" s="12" t="s">
        <v>542</v>
      </c>
      <c r="G8" s="12" t="s">
        <v>543</v>
      </c>
      <c r="H8" s="12" t="s">
        <v>556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557</v>
      </c>
      <c r="B9" s="12" t="s">
        <v>32</v>
      </c>
      <c r="C9" s="12" t="s">
        <v>49</v>
      </c>
      <c r="D9" s="12" t="s">
        <v>558</v>
      </c>
      <c r="E9" s="12" t="s">
        <v>541</v>
      </c>
      <c r="F9" s="12" t="s">
        <v>542</v>
      </c>
      <c r="G9" s="12" t="s">
        <v>543</v>
      </c>
      <c r="H9" s="12" t="s">
        <v>481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559</v>
      </c>
      <c r="B10" s="12" t="s">
        <v>32</v>
      </c>
      <c r="C10" s="12" t="s">
        <v>49</v>
      </c>
      <c r="D10" s="12" t="s">
        <v>560</v>
      </c>
      <c r="E10" s="12" t="s">
        <v>541</v>
      </c>
      <c r="F10" s="12" t="s">
        <v>542</v>
      </c>
      <c r="G10" s="12" t="s">
        <v>543</v>
      </c>
      <c r="H10" s="12" t="s">
        <v>561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562</v>
      </c>
      <c r="B11" s="12" t="s">
        <v>32</v>
      </c>
      <c r="C11" s="12" t="s">
        <v>49</v>
      </c>
      <c r="D11" s="12" t="s">
        <v>563</v>
      </c>
      <c r="E11" s="12" t="s">
        <v>541</v>
      </c>
      <c r="F11" s="12" t="s">
        <v>542</v>
      </c>
      <c r="G11" s="12" t="s">
        <v>543</v>
      </c>
      <c r="H11" s="12" t="s">
        <v>564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565</v>
      </c>
      <c r="B12" s="12" t="s">
        <v>34</v>
      </c>
      <c r="C12" s="12" t="s">
        <v>49</v>
      </c>
      <c r="D12" s="12" t="s">
        <v>566</v>
      </c>
      <c r="E12" s="12" t="s">
        <v>567</v>
      </c>
      <c r="F12" s="12" t="s">
        <v>359</v>
      </c>
      <c r="G12" s="12" t="s">
        <v>568</v>
      </c>
      <c r="H12" s="12" t="s">
        <v>569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570</v>
      </c>
      <c r="B13" s="12" t="s">
        <v>34</v>
      </c>
      <c r="C13" s="12" t="s">
        <v>49</v>
      </c>
      <c r="D13" s="12" t="s">
        <v>571</v>
      </c>
      <c r="E13" s="12" t="s">
        <v>572</v>
      </c>
      <c r="F13" s="12" t="s">
        <v>359</v>
      </c>
      <c r="G13" s="12" t="s">
        <v>573</v>
      </c>
      <c r="H13" s="12" t="s">
        <v>574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575</v>
      </c>
      <c r="B14" s="12" t="s">
        <v>1</v>
      </c>
      <c r="C14" s="12" t="s">
        <v>49</v>
      </c>
      <c r="D14" s="12" t="s">
        <v>576</v>
      </c>
      <c r="E14" s="12" t="s">
        <v>577</v>
      </c>
      <c r="F14" s="12" t="s">
        <v>119</v>
      </c>
      <c r="G14" s="12" t="s">
        <v>578</v>
      </c>
      <c r="H14" s="12" t="s">
        <v>579</v>
      </c>
      <c r="I14" s="12" t="s">
        <v>132</v>
      </c>
      <c r="J14" s="12" t="s">
        <v>122</v>
      </c>
      <c r="K14" s="12"/>
      <c r="L14" s="12" t="s">
        <v>203</v>
      </c>
    </row>
    <row r="15">
      <c r="A15" s="12" t="s">
        <v>580</v>
      </c>
      <c r="B15" s="12" t="s">
        <v>1</v>
      </c>
      <c r="C15" s="12" t="s">
        <v>49</v>
      </c>
      <c r="D15" s="12" t="s">
        <v>581</v>
      </c>
      <c r="E15" s="12" t="s">
        <v>577</v>
      </c>
      <c r="F15" s="12" t="s">
        <v>119</v>
      </c>
      <c r="G15" s="12" t="s">
        <v>582</v>
      </c>
      <c r="H15" s="12" t="s">
        <v>583</v>
      </c>
      <c r="I15" s="12" t="s">
        <v>132</v>
      </c>
      <c r="J15" s="12" t="s">
        <v>122</v>
      </c>
      <c r="K15" s="12"/>
      <c r="L15" s="12" t="s">
        <v>203</v>
      </c>
    </row>
    <row r="16">
      <c r="A16" s="12" t="s">
        <v>584</v>
      </c>
      <c r="B16" s="12" t="s">
        <v>1</v>
      </c>
      <c r="C16" s="12" t="s">
        <v>49</v>
      </c>
      <c r="D16" s="12" t="s">
        <v>585</v>
      </c>
      <c r="E16" s="12" t="s">
        <v>586</v>
      </c>
      <c r="F16" s="12" t="s">
        <v>587</v>
      </c>
      <c r="G16" s="12" t="s">
        <v>582</v>
      </c>
      <c r="H16" s="12" t="s">
        <v>588</v>
      </c>
      <c r="I16" s="12" t="s">
        <v>132</v>
      </c>
      <c r="J16" s="12" t="s">
        <v>122</v>
      </c>
      <c r="K16" s="12"/>
      <c r="L16" s="12" t="s">
        <v>203</v>
      </c>
    </row>
    <row r="17">
      <c r="A17" s="12" t="s">
        <v>589</v>
      </c>
      <c r="B17" s="12" t="s">
        <v>1</v>
      </c>
      <c r="C17" s="12" t="s">
        <v>49</v>
      </c>
      <c r="D17" s="12" t="s">
        <v>590</v>
      </c>
      <c r="E17" s="12" t="s">
        <v>591</v>
      </c>
      <c r="F17" s="12" t="s">
        <v>587</v>
      </c>
      <c r="G17" s="12" t="s">
        <v>592</v>
      </c>
      <c r="H17" s="12" t="s">
        <v>593</v>
      </c>
      <c r="I17" s="12" t="s">
        <v>132</v>
      </c>
      <c r="J17" s="12" t="s">
        <v>122</v>
      </c>
      <c r="K17" s="12"/>
      <c r="L17" s="12" t="s">
        <v>203</v>
      </c>
    </row>
    <row r="18">
      <c r="A18" s="12" t="s">
        <v>594</v>
      </c>
      <c r="B18" s="12" t="s">
        <v>1</v>
      </c>
      <c r="C18" s="12" t="s">
        <v>49</v>
      </c>
      <c r="D18" s="12" t="s">
        <v>595</v>
      </c>
      <c r="E18" s="12" t="s">
        <v>596</v>
      </c>
      <c r="F18" s="12" t="s">
        <v>119</v>
      </c>
      <c r="G18" s="12" t="s">
        <v>597</v>
      </c>
      <c r="H18" s="12" t="s">
        <v>524</v>
      </c>
      <c r="I18" s="12" t="s">
        <v>132</v>
      </c>
      <c r="J18" s="12" t="s">
        <v>122</v>
      </c>
      <c r="K18" s="12"/>
      <c r="L18" s="12" t="s">
        <v>203</v>
      </c>
    </row>
    <row r="19">
      <c r="A19" s="12" t="s">
        <v>598</v>
      </c>
      <c r="B19" s="12" t="s">
        <v>1</v>
      </c>
      <c r="C19" s="12" t="s">
        <v>49</v>
      </c>
      <c r="D19" s="12" t="s">
        <v>599</v>
      </c>
      <c r="E19" s="12" t="s">
        <v>600</v>
      </c>
      <c r="F19" s="12" t="s">
        <v>601</v>
      </c>
      <c r="G19" s="12" t="s">
        <v>602</v>
      </c>
      <c r="H19" s="12" t="s">
        <v>603</v>
      </c>
      <c r="I19" s="12" t="s">
        <v>132</v>
      </c>
      <c r="J19" s="12" t="s">
        <v>122</v>
      </c>
      <c r="K19" s="12"/>
      <c r="L19" s="12" t="s">
        <v>203</v>
      </c>
    </row>
    <row r="20">
      <c r="A20" s="12" t="s">
        <v>604</v>
      </c>
      <c r="B20" s="12" t="s">
        <v>1</v>
      </c>
      <c r="C20" s="12" t="s">
        <v>49</v>
      </c>
      <c r="D20" s="12" t="s">
        <v>605</v>
      </c>
      <c r="E20" s="12" t="s">
        <v>606</v>
      </c>
      <c r="F20" s="12" t="s">
        <v>607</v>
      </c>
      <c r="G20" s="12" t="s">
        <v>608</v>
      </c>
      <c r="H20" s="12" t="s">
        <v>609</v>
      </c>
      <c r="I20" s="12" t="s">
        <v>132</v>
      </c>
      <c r="J20" s="12" t="s">
        <v>122</v>
      </c>
      <c r="K20" s="12"/>
      <c r="L20" s="12" t="s">
        <v>203</v>
      </c>
    </row>
    <row r="21" ht="15.75" customHeight="1">
      <c r="A21" s="12" t="s">
        <v>610</v>
      </c>
      <c r="B21" s="12" t="s">
        <v>1</v>
      </c>
      <c r="C21" s="12" t="s">
        <v>49</v>
      </c>
      <c r="D21" s="12" t="s">
        <v>611</v>
      </c>
      <c r="E21" s="12" t="s">
        <v>612</v>
      </c>
      <c r="F21" s="12" t="s">
        <v>119</v>
      </c>
      <c r="G21" s="12" t="s">
        <v>613</v>
      </c>
      <c r="H21" s="12" t="s">
        <v>614</v>
      </c>
      <c r="I21" s="12" t="s">
        <v>132</v>
      </c>
      <c r="J21" s="12" t="s">
        <v>122</v>
      </c>
      <c r="K21" s="12"/>
      <c r="L21" s="12" t="s">
        <v>203</v>
      </c>
    </row>
    <row r="22" ht="15.75" customHeight="1">
      <c r="A22" s="12" t="s">
        <v>615</v>
      </c>
      <c r="B22" s="12" t="s">
        <v>1</v>
      </c>
      <c r="C22" s="12" t="s">
        <v>49</v>
      </c>
      <c r="D22" s="12" t="s">
        <v>616</v>
      </c>
      <c r="E22" s="12" t="s">
        <v>617</v>
      </c>
      <c r="F22" s="12" t="s">
        <v>119</v>
      </c>
      <c r="G22" s="12" t="s">
        <v>613</v>
      </c>
      <c r="H22" s="12" t="s">
        <v>618</v>
      </c>
      <c r="I22" s="12" t="s">
        <v>132</v>
      </c>
      <c r="J22" s="12" t="s">
        <v>122</v>
      </c>
      <c r="K22" s="12"/>
      <c r="L22" s="12" t="s">
        <v>203</v>
      </c>
    </row>
    <row r="23" ht="15.75" customHeight="1">
      <c r="A23" s="12" t="s">
        <v>619</v>
      </c>
      <c r="B23" s="12" t="s">
        <v>1</v>
      </c>
      <c r="C23" s="12" t="s">
        <v>49</v>
      </c>
      <c r="D23" s="12" t="s">
        <v>620</v>
      </c>
      <c r="E23" s="12" t="s">
        <v>621</v>
      </c>
      <c r="F23" s="12" t="s">
        <v>622</v>
      </c>
      <c r="G23" s="12" t="s">
        <v>623</v>
      </c>
      <c r="H23" s="12" t="s">
        <v>624</v>
      </c>
      <c r="I23" s="12" t="s">
        <v>132</v>
      </c>
      <c r="J23" s="12" t="s">
        <v>122</v>
      </c>
      <c r="K23" s="12" t="s">
        <v>243</v>
      </c>
      <c r="L23" s="12" t="s">
        <v>203</v>
      </c>
    </row>
    <row r="24" ht="15.75" customHeight="1">
      <c r="A24" s="12" t="s">
        <v>625</v>
      </c>
      <c r="B24" s="12" t="s">
        <v>37</v>
      </c>
      <c r="C24" s="12" t="s">
        <v>49</v>
      </c>
      <c r="D24" s="12" t="s">
        <v>626</v>
      </c>
      <c r="E24" s="12" t="s">
        <v>627</v>
      </c>
      <c r="F24" s="12" t="s">
        <v>628</v>
      </c>
      <c r="G24" s="12" t="s">
        <v>413</v>
      </c>
      <c r="H24" s="12" t="s">
        <v>629</v>
      </c>
      <c r="I24" s="12" t="s">
        <v>302</v>
      </c>
      <c r="J24" s="12" t="s">
        <v>122</v>
      </c>
      <c r="K24" s="12"/>
      <c r="L24" s="12" t="s">
        <v>303</v>
      </c>
    </row>
    <row r="25" ht="15.75" customHeight="1">
      <c r="A25" s="12" t="s">
        <v>630</v>
      </c>
      <c r="B25" s="12" t="s">
        <v>37</v>
      </c>
      <c r="C25" s="12" t="s">
        <v>49</v>
      </c>
      <c r="D25" s="12" t="s">
        <v>631</v>
      </c>
      <c r="E25" s="12" t="s">
        <v>627</v>
      </c>
      <c r="F25" s="12" t="s">
        <v>632</v>
      </c>
      <c r="G25" s="12" t="s">
        <v>413</v>
      </c>
      <c r="H25" s="12" t="s">
        <v>633</v>
      </c>
      <c r="I25" s="12" t="s">
        <v>302</v>
      </c>
      <c r="J25" s="12" t="s">
        <v>122</v>
      </c>
      <c r="K25" s="12"/>
      <c r="L25" s="12" t="s">
        <v>303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25">
    <cfRule type="expression" dxfId="0" priority="1">
      <formula>B4="Unit"</formula>
    </cfRule>
  </conditionalFormatting>
  <conditionalFormatting sqref="B4:B25">
    <cfRule type="expression" dxfId="1" priority="2">
      <formula>B4="Integration"</formula>
    </cfRule>
  </conditionalFormatting>
  <conditionalFormatting sqref="B4:B25">
    <cfRule type="expression" dxfId="2" priority="3">
      <formula>B4="System"</formula>
    </cfRule>
  </conditionalFormatting>
  <conditionalFormatting sqref="B4:B25">
    <cfRule type="expression" dxfId="3" priority="4">
      <formula>B4="UAT"</formula>
    </cfRule>
  </conditionalFormatting>
  <dataValidations>
    <dataValidation type="list" allowBlank="1" sqref="B4:B25">
      <formula1>"Unit,Integration,System,UAT"</formula1>
    </dataValidation>
    <dataValidation type="list" allowBlank="1" sqref="I4:I25">
      <formula1>"N/A,standard_user,locked_out_user,problem_user,performance_glitch_user,error_user,visual_user,Multiple Relevant Users,All Applicable Users,Representative User"</formula1>
    </dataValidation>
    <dataValidation type="list" allowBlank="1" sqref="L4:L25">
      <formula1>"No,Yes,Candidate"</formula1>
    </dataValidation>
    <dataValidation type="list" allowBlank="1" sqref="J4:J25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634</v>
      </c>
    </row>
    <row r="2" ht="21.75" customHeight="1">
      <c r="A2" s="6" t="s">
        <v>635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636</v>
      </c>
      <c r="B4" s="12" t="s">
        <v>32</v>
      </c>
      <c r="C4" s="12" t="s">
        <v>51</v>
      </c>
      <c r="D4" s="12" t="s">
        <v>637</v>
      </c>
      <c r="E4" s="12" t="s">
        <v>638</v>
      </c>
      <c r="F4" s="12" t="s">
        <v>119</v>
      </c>
      <c r="G4" s="12" t="s">
        <v>639</v>
      </c>
      <c r="H4" s="12" t="s">
        <v>637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640</v>
      </c>
      <c r="B5" s="12" t="s">
        <v>32</v>
      </c>
      <c r="C5" s="12" t="s">
        <v>51</v>
      </c>
      <c r="D5" s="12" t="s">
        <v>641</v>
      </c>
      <c r="E5" s="12" t="s">
        <v>638</v>
      </c>
      <c r="F5" s="12" t="s">
        <v>642</v>
      </c>
      <c r="G5" s="12" t="s">
        <v>643</v>
      </c>
      <c r="H5" s="12" t="s">
        <v>644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645</v>
      </c>
      <c r="B6" s="12" t="s">
        <v>32</v>
      </c>
      <c r="C6" s="12" t="s">
        <v>51</v>
      </c>
      <c r="D6" s="12" t="s">
        <v>646</v>
      </c>
      <c r="E6" s="12" t="s">
        <v>638</v>
      </c>
      <c r="F6" s="12" t="s">
        <v>647</v>
      </c>
      <c r="G6" s="12" t="s">
        <v>648</v>
      </c>
      <c r="H6" s="12" t="s">
        <v>649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650</v>
      </c>
      <c r="B7" s="12" t="s">
        <v>32</v>
      </c>
      <c r="C7" s="12" t="s">
        <v>51</v>
      </c>
      <c r="D7" s="12" t="s">
        <v>651</v>
      </c>
      <c r="E7" s="12" t="s">
        <v>638</v>
      </c>
      <c r="F7" s="12" t="s">
        <v>119</v>
      </c>
      <c r="G7" s="12" t="s">
        <v>639</v>
      </c>
      <c r="H7" s="12" t="s">
        <v>651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652</v>
      </c>
      <c r="B8" s="12" t="s">
        <v>32</v>
      </c>
      <c r="C8" s="12" t="s">
        <v>51</v>
      </c>
      <c r="D8" s="12" t="s">
        <v>653</v>
      </c>
      <c r="E8" s="12" t="s">
        <v>638</v>
      </c>
      <c r="F8" s="12" t="s">
        <v>654</v>
      </c>
      <c r="G8" s="12" t="s">
        <v>655</v>
      </c>
      <c r="H8" s="12" t="s">
        <v>656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657</v>
      </c>
      <c r="B9" s="12" t="s">
        <v>32</v>
      </c>
      <c r="C9" s="12" t="s">
        <v>51</v>
      </c>
      <c r="D9" s="12" t="s">
        <v>658</v>
      </c>
      <c r="E9" s="12" t="s">
        <v>638</v>
      </c>
      <c r="F9" s="12" t="s">
        <v>659</v>
      </c>
      <c r="G9" s="12" t="s">
        <v>648</v>
      </c>
      <c r="H9" s="12" t="s">
        <v>660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661</v>
      </c>
      <c r="B10" s="12" t="s">
        <v>32</v>
      </c>
      <c r="C10" s="12" t="s">
        <v>51</v>
      </c>
      <c r="D10" s="12" t="s">
        <v>662</v>
      </c>
      <c r="E10" s="12" t="s">
        <v>638</v>
      </c>
      <c r="F10" s="12" t="s">
        <v>119</v>
      </c>
      <c r="G10" s="12" t="s">
        <v>639</v>
      </c>
      <c r="H10" s="12" t="s">
        <v>662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663</v>
      </c>
      <c r="B11" s="12" t="s">
        <v>32</v>
      </c>
      <c r="C11" s="12" t="s">
        <v>51</v>
      </c>
      <c r="D11" s="12" t="s">
        <v>664</v>
      </c>
      <c r="E11" s="12" t="s">
        <v>638</v>
      </c>
      <c r="F11" s="12" t="s">
        <v>665</v>
      </c>
      <c r="G11" s="12" t="s">
        <v>666</v>
      </c>
      <c r="H11" s="12" t="s">
        <v>667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668</v>
      </c>
      <c r="B12" s="12" t="s">
        <v>32</v>
      </c>
      <c r="C12" s="12" t="s">
        <v>51</v>
      </c>
      <c r="D12" s="12" t="s">
        <v>669</v>
      </c>
      <c r="E12" s="12" t="s">
        <v>638</v>
      </c>
      <c r="F12" s="12" t="s">
        <v>670</v>
      </c>
      <c r="G12" s="12" t="s">
        <v>648</v>
      </c>
      <c r="H12" s="12" t="s">
        <v>671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672</v>
      </c>
      <c r="B13" s="12" t="s">
        <v>32</v>
      </c>
      <c r="C13" s="12" t="s">
        <v>51</v>
      </c>
      <c r="D13" s="12" t="s">
        <v>673</v>
      </c>
      <c r="E13" s="12" t="s">
        <v>638</v>
      </c>
      <c r="F13" s="12" t="s">
        <v>119</v>
      </c>
      <c r="G13" s="12" t="s">
        <v>639</v>
      </c>
      <c r="H13" s="12" t="s">
        <v>674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675</v>
      </c>
      <c r="B14" s="12" t="s">
        <v>32</v>
      </c>
      <c r="C14" s="12" t="s">
        <v>51</v>
      </c>
      <c r="D14" s="12" t="s">
        <v>676</v>
      </c>
      <c r="E14" s="12" t="s">
        <v>638</v>
      </c>
      <c r="F14" s="12" t="s">
        <v>119</v>
      </c>
      <c r="G14" s="12" t="s">
        <v>639</v>
      </c>
      <c r="H14" s="12" t="s">
        <v>677</v>
      </c>
      <c r="I14" s="12" t="s">
        <v>132</v>
      </c>
      <c r="J14" s="12" t="s">
        <v>122</v>
      </c>
      <c r="K14" s="12"/>
      <c r="L14" s="12" t="s">
        <v>203</v>
      </c>
    </row>
    <row r="15">
      <c r="A15" s="12" t="s">
        <v>678</v>
      </c>
      <c r="B15" s="12" t="s">
        <v>1</v>
      </c>
      <c r="C15" s="12" t="s">
        <v>51</v>
      </c>
      <c r="D15" s="12" t="s">
        <v>679</v>
      </c>
      <c r="E15" s="12" t="s">
        <v>680</v>
      </c>
      <c r="F15" s="12" t="s">
        <v>681</v>
      </c>
      <c r="G15" s="12" t="s">
        <v>682</v>
      </c>
      <c r="H15" s="12" t="s">
        <v>683</v>
      </c>
      <c r="I15" s="12" t="s">
        <v>132</v>
      </c>
      <c r="J15" s="12" t="s">
        <v>122</v>
      </c>
      <c r="K15" s="12"/>
      <c r="L15" s="12" t="s">
        <v>203</v>
      </c>
    </row>
    <row r="16">
      <c r="A16" s="12" t="s">
        <v>684</v>
      </c>
      <c r="B16" s="12" t="s">
        <v>1</v>
      </c>
      <c r="C16" s="12" t="s">
        <v>51</v>
      </c>
      <c r="D16" s="12" t="s">
        <v>685</v>
      </c>
      <c r="E16" s="12" t="s">
        <v>680</v>
      </c>
      <c r="F16" s="12" t="s">
        <v>686</v>
      </c>
      <c r="G16" s="12" t="s">
        <v>682</v>
      </c>
      <c r="H16" s="12" t="s">
        <v>687</v>
      </c>
      <c r="I16" s="12" t="s">
        <v>132</v>
      </c>
      <c r="J16" s="12" t="s">
        <v>122</v>
      </c>
      <c r="K16" s="12"/>
      <c r="L16" s="12" t="s">
        <v>203</v>
      </c>
    </row>
    <row r="17">
      <c r="A17" s="12" t="s">
        <v>688</v>
      </c>
      <c r="B17" s="12" t="s">
        <v>1</v>
      </c>
      <c r="C17" s="12" t="s">
        <v>51</v>
      </c>
      <c r="D17" s="12" t="s">
        <v>689</v>
      </c>
      <c r="E17" s="12" t="s">
        <v>680</v>
      </c>
      <c r="F17" s="12" t="s">
        <v>690</v>
      </c>
      <c r="G17" s="12" t="s">
        <v>682</v>
      </c>
      <c r="H17" s="12" t="s">
        <v>691</v>
      </c>
      <c r="I17" s="12" t="s">
        <v>132</v>
      </c>
      <c r="J17" s="12" t="s">
        <v>122</v>
      </c>
      <c r="K17" s="12"/>
      <c r="L17" s="12" t="s">
        <v>203</v>
      </c>
    </row>
    <row r="18">
      <c r="A18" s="12" t="s">
        <v>692</v>
      </c>
      <c r="B18" s="12" t="s">
        <v>1</v>
      </c>
      <c r="C18" s="12" t="s">
        <v>51</v>
      </c>
      <c r="D18" s="12" t="s">
        <v>693</v>
      </c>
      <c r="E18" s="12" t="s">
        <v>680</v>
      </c>
      <c r="F18" s="12" t="s">
        <v>694</v>
      </c>
      <c r="G18" s="12" t="s">
        <v>682</v>
      </c>
      <c r="H18" s="12" t="s">
        <v>695</v>
      </c>
      <c r="I18" s="12" t="s">
        <v>132</v>
      </c>
      <c r="J18" s="12" t="s">
        <v>122</v>
      </c>
      <c r="K18" s="12"/>
      <c r="L18" s="12" t="s">
        <v>203</v>
      </c>
    </row>
    <row r="19">
      <c r="A19" s="12" t="s">
        <v>696</v>
      </c>
      <c r="B19" s="12" t="s">
        <v>1</v>
      </c>
      <c r="C19" s="12" t="s">
        <v>51</v>
      </c>
      <c r="D19" s="12" t="s">
        <v>697</v>
      </c>
      <c r="E19" s="12" t="s">
        <v>680</v>
      </c>
      <c r="F19" s="12" t="s">
        <v>698</v>
      </c>
      <c r="G19" s="12" t="s">
        <v>682</v>
      </c>
      <c r="H19" s="12" t="s">
        <v>699</v>
      </c>
      <c r="I19" s="12" t="s">
        <v>132</v>
      </c>
      <c r="J19" s="12" t="s">
        <v>122</v>
      </c>
      <c r="K19" s="12"/>
      <c r="L19" s="12" t="s">
        <v>203</v>
      </c>
    </row>
    <row r="20">
      <c r="A20" s="12" t="s">
        <v>700</v>
      </c>
      <c r="B20" s="12" t="s">
        <v>32</v>
      </c>
      <c r="C20" s="12" t="s">
        <v>51</v>
      </c>
      <c r="D20" s="12" t="s">
        <v>701</v>
      </c>
      <c r="E20" s="12" t="s">
        <v>638</v>
      </c>
      <c r="F20" s="12" t="s">
        <v>702</v>
      </c>
      <c r="G20" s="12" t="s">
        <v>703</v>
      </c>
      <c r="H20" s="12" t="s">
        <v>704</v>
      </c>
      <c r="I20" s="12" t="s">
        <v>132</v>
      </c>
      <c r="J20" s="12" t="s">
        <v>122</v>
      </c>
      <c r="K20" s="12"/>
      <c r="L20" s="12" t="s">
        <v>203</v>
      </c>
    </row>
    <row r="21" ht="15.75" customHeight="1">
      <c r="A21" s="12" t="s">
        <v>705</v>
      </c>
      <c r="B21" s="12" t="s">
        <v>32</v>
      </c>
      <c r="C21" s="12" t="s">
        <v>51</v>
      </c>
      <c r="D21" s="12" t="s">
        <v>706</v>
      </c>
      <c r="E21" s="12" t="s">
        <v>638</v>
      </c>
      <c r="F21" s="12" t="s">
        <v>707</v>
      </c>
      <c r="G21" s="12" t="s">
        <v>703</v>
      </c>
      <c r="H21" s="12" t="s">
        <v>704</v>
      </c>
      <c r="I21" s="12" t="s">
        <v>132</v>
      </c>
      <c r="J21" s="12" t="s">
        <v>122</v>
      </c>
      <c r="K21" s="12"/>
      <c r="L21" s="12" t="s">
        <v>203</v>
      </c>
    </row>
    <row r="22" ht="15.75" customHeight="1">
      <c r="A22" s="12" t="s">
        <v>708</v>
      </c>
      <c r="B22" s="12" t="s">
        <v>32</v>
      </c>
      <c r="C22" s="12" t="s">
        <v>51</v>
      </c>
      <c r="D22" s="12" t="s">
        <v>709</v>
      </c>
      <c r="E22" s="12" t="s">
        <v>638</v>
      </c>
      <c r="F22" s="12" t="s">
        <v>710</v>
      </c>
      <c r="G22" s="12" t="s">
        <v>711</v>
      </c>
      <c r="H22" s="12" t="s">
        <v>704</v>
      </c>
      <c r="I22" s="12" t="s">
        <v>132</v>
      </c>
      <c r="J22" s="12" t="s">
        <v>122</v>
      </c>
      <c r="K22" s="12"/>
      <c r="L22" s="12" t="s">
        <v>203</v>
      </c>
    </row>
    <row r="23" ht="15.75" customHeight="1">
      <c r="A23" s="12" t="s">
        <v>712</v>
      </c>
      <c r="B23" s="12" t="s">
        <v>32</v>
      </c>
      <c r="C23" s="12" t="s">
        <v>51</v>
      </c>
      <c r="D23" s="12" t="s">
        <v>713</v>
      </c>
      <c r="E23" s="12" t="s">
        <v>638</v>
      </c>
      <c r="F23" s="12" t="s">
        <v>714</v>
      </c>
      <c r="G23" s="12" t="s">
        <v>715</v>
      </c>
      <c r="H23" s="12" t="s">
        <v>704</v>
      </c>
      <c r="I23" s="12" t="s">
        <v>132</v>
      </c>
      <c r="J23" s="12" t="s">
        <v>122</v>
      </c>
      <c r="K23" s="12"/>
      <c r="L23" s="12" t="s">
        <v>203</v>
      </c>
    </row>
    <row r="24" ht="15.75" customHeight="1">
      <c r="A24" s="12" t="s">
        <v>716</v>
      </c>
      <c r="B24" s="12" t="s">
        <v>32</v>
      </c>
      <c r="C24" s="12" t="s">
        <v>51</v>
      </c>
      <c r="D24" s="12" t="s">
        <v>717</v>
      </c>
      <c r="E24" s="12" t="s">
        <v>638</v>
      </c>
      <c r="F24" s="12" t="s">
        <v>718</v>
      </c>
      <c r="G24" s="12" t="s">
        <v>715</v>
      </c>
      <c r="H24" s="12" t="s">
        <v>704</v>
      </c>
      <c r="I24" s="12" t="s">
        <v>132</v>
      </c>
      <c r="J24" s="12" t="s">
        <v>122</v>
      </c>
      <c r="K24" s="12"/>
      <c r="L24" s="12" t="s">
        <v>203</v>
      </c>
    </row>
    <row r="25" ht="15.75" customHeight="1">
      <c r="A25" s="12" t="s">
        <v>719</v>
      </c>
      <c r="B25" s="12" t="s">
        <v>32</v>
      </c>
      <c r="C25" s="12" t="s">
        <v>51</v>
      </c>
      <c r="D25" s="12" t="s">
        <v>720</v>
      </c>
      <c r="E25" s="12" t="s">
        <v>638</v>
      </c>
      <c r="F25" s="12" t="s">
        <v>721</v>
      </c>
      <c r="G25" s="12" t="s">
        <v>715</v>
      </c>
      <c r="H25" s="12" t="s">
        <v>704</v>
      </c>
      <c r="I25" s="12" t="s">
        <v>132</v>
      </c>
      <c r="J25" s="12" t="s">
        <v>122</v>
      </c>
      <c r="K25" s="12"/>
      <c r="L25" s="12" t="s">
        <v>203</v>
      </c>
    </row>
    <row r="26" ht="15.75" customHeight="1">
      <c r="A26" s="12" t="s">
        <v>722</v>
      </c>
      <c r="B26" s="12" t="s">
        <v>1</v>
      </c>
      <c r="C26" s="12" t="s">
        <v>51</v>
      </c>
      <c r="D26" s="12" t="s">
        <v>723</v>
      </c>
      <c r="E26" s="12" t="s">
        <v>724</v>
      </c>
      <c r="F26" s="12" t="s">
        <v>725</v>
      </c>
      <c r="G26" s="12" t="s">
        <v>726</v>
      </c>
      <c r="H26" s="12" t="s">
        <v>727</v>
      </c>
      <c r="I26" s="12" t="s">
        <v>132</v>
      </c>
      <c r="J26" s="12" t="s">
        <v>122</v>
      </c>
      <c r="K26" s="12" t="s">
        <v>243</v>
      </c>
      <c r="L26" s="12" t="s">
        <v>203</v>
      </c>
    </row>
    <row r="27" ht="15.75" customHeight="1">
      <c r="A27" s="12" t="s">
        <v>728</v>
      </c>
      <c r="B27" s="12" t="s">
        <v>1</v>
      </c>
      <c r="C27" s="12" t="s">
        <v>51</v>
      </c>
      <c r="D27" s="12" t="s">
        <v>729</v>
      </c>
      <c r="E27" s="12" t="s">
        <v>724</v>
      </c>
      <c r="F27" s="12" t="s">
        <v>730</v>
      </c>
      <c r="G27" s="12" t="s">
        <v>726</v>
      </c>
      <c r="H27" s="12" t="s">
        <v>731</v>
      </c>
      <c r="I27" s="12" t="s">
        <v>132</v>
      </c>
      <c r="J27" s="12" t="s">
        <v>122</v>
      </c>
      <c r="K27" s="12" t="s">
        <v>243</v>
      </c>
      <c r="L27" s="12" t="s">
        <v>203</v>
      </c>
    </row>
    <row r="28" ht="15.75" customHeight="1">
      <c r="A28" s="12" t="s">
        <v>732</v>
      </c>
      <c r="B28" s="12" t="s">
        <v>34</v>
      </c>
      <c r="C28" s="12" t="s">
        <v>51</v>
      </c>
      <c r="D28" s="12" t="s">
        <v>733</v>
      </c>
      <c r="E28" s="12" t="s">
        <v>638</v>
      </c>
      <c r="F28" s="12" t="s">
        <v>119</v>
      </c>
      <c r="G28" s="12" t="s">
        <v>734</v>
      </c>
      <c r="H28" s="12" t="s">
        <v>735</v>
      </c>
      <c r="I28" s="12" t="s">
        <v>132</v>
      </c>
      <c r="J28" s="12" t="s">
        <v>122</v>
      </c>
      <c r="K28" s="12"/>
      <c r="L28" s="12" t="s">
        <v>203</v>
      </c>
    </row>
    <row r="29" ht="15.75" customHeight="1">
      <c r="A29" s="12" t="s">
        <v>736</v>
      </c>
      <c r="B29" s="12" t="s">
        <v>34</v>
      </c>
      <c r="C29" s="12" t="s">
        <v>51</v>
      </c>
      <c r="D29" s="12" t="s">
        <v>737</v>
      </c>
      <c r="E29" s="12" t="s">
        <v>738</v>
      </c>
      <c r="F29" s="12" t="s">
        <v>739</v>
      </c>
      <c r="G29" s="12" t="s">
        <v>740</v>
      </c>
      <c r="H29" s="12" t="s">
        <v>741</v>
      </c>
      <c r="I29" s="12" t="s">
        <v>132</v>
      </c>
      <c r="J29" s="12" t="s">
        <v>122</v>
      </c>
      <c r="K29" s="12"/>
      <c r="L29" s="12" t="s">
        <v>203</v>
      </c>
    </row>
    <row r="30" ht="15.75" customHeight="1">
      <c r="A30" s="12" t="s">
        <v>742</v>
      </c>
      <c r="B30" s="12" t="s">
        <v>37</v>
      </c>
      <c r="C30" s="12" t="s">
        <v>51</v>
      </c>
      <c r="D30" s="12" t="s">
        <v>743</v>
      </c>
      <c r="E30" s="12" t="s">
        <v>744</v>
      </c>
      <c r="F30" s="12" t="s">
        <v>745</v>
      </c>
      <c r="G30" s="12" t="s">
        <v>413</v>
      </c>
      <c r="H30" s="12" t="s">
        <v>746</v>
      </c>
      <c r="I30" s="12" t="s">
        <v>302</v>
      </c>
      <c r="J30" s="12" t="s">
        <v>122</v>
      </c>
      <c r="K30" s="12"/>
      <c r="L30" s="12" t="s">
        <v>303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30">
    <cfRule type="expression" dxfId="0" priority="1">
      <formula>B4="Unit"</formula>
    </cfRule>
  </conditionalFormatting>
  <conditionalFormatting sqref="B4:B30">
    <cfRule type="expression" dxfId="1" priority="2">
      <formula>B4="Integration"</formula>
    </cfRule>
  </conditionalFormatting>
  <conditionalFormatting sqref="B4:B30">
    <cfRule type="expression" dxfId="2" priority="3">
      <formula>B4="System"</formula>
    </cfRule>
  </conditionalFormatting>
  <conditionalFormatting sqref="B4:B30">
    <cfRule type="expression" dxfId="3" priority="4">
      <formula>B4="UAT"</formula>
    </cfRule>
  </conditionalFormatting>
  <dataValidations>
    <dataValidation type="list" allowBlank="1" sqref="B4:B30">
      <formula1>"Unit,Integration,System,UAT"</formula1>
    </dataValidation>
    <dataValidation type="list" allowBlank="1" sqref="I4:I30">
      <formula1>"N/A,standard_user,locked_out_user,problem_user,performance_glitch_user,error_user,visual_user,Multiple Relevant Users,All Applicable Users,Representative User"</formula1>
    </dataValidation>
    <dataValidation type="list" allowBlank="1" sqref="L4:L30">
      <formula1>"No,Yes,Candidate"</formula1>
    </dataValidation>
    <dataValidation type="list" allowBlank="1" sqref="J4:J30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747</v>
      </c>
    </row>
    <row r="2" ht="21.75" customHeight="1">
      <c r="A2" s="6" t="s">
        <v>748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749</v>
      </c>
      <c r="B4" s="12" t="s">
        <v>32</v>
      </c>
      <c r="C4" s="12" t="s">
        <v>53</v>
      </c>
      <c r="D4" s="12" t="s">
        <v>750</v>
      </c>
      <c r="E4" s="12" t="s">
        <v>751</v>
      </c>
      <c r="F4" s="12" t="s">
        <v>119</v>
      </c>
      <c r="G4" s="12" t="s">
        <v>752</v>
      </c>
      <c r="H4" s="12" t="s">
        <v>753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754</v>
      </c>
      <c r="B5" s="12" t="s">
        <v>32</v>
      </c>
      <c r="C5" s="12" t="s">
        <v>53</v>
      </c>
      <c r="D5" s="12" t="s">
        <v>755</v>
      </c>
      <c r="E5" s="12" t="s">
        <v>751</v>
      </c>
      <c r="F5" s="12" t="s">
        <v>119</v>
      </c>
      <c r="G5" s="12" t="s">
        <v>752</v>
      </c>
      <c r="H5" s="12" t="s">
        <v>756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757</v>
      </c>
      <c r="B6" s="12" t="s">
        <v>32</v>
      </c>
      <c r="C6" s="12" t="s">
        <v>53</v>
      </c>
      <c r="D6" s="12" t="s">
        <v>758</v>
      </c>
      <c r="E6" s="12" t="s">
        <v>751</v>
      </c>
      <c r="F6" s="12" t="s">
        <v>119</v>
      </c>
      <c r="G6" s="12" t="s">
        <v>752</v>
      </c>
      <c r="H6" s="12" t="s">
        <v>759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760</v>
      </c>
      <c r="B7" s="12" t="s">
        <v>32</v>
      </c>
      <c r="C7" s="12" t="s">
        <v>53</v>
      </c>
      <c r="D7" s="12" t="s">
        <v>761</v>
      </c>
      <c r="E7" s="12" t="s">
        <v>751</v>
      </c>
      <c r="F7" s="12" t="s">
        <v>119</v>
      </c>
      <c r="G7" s="12" t="s">
        <v>752</v>
      </c>
      <c r="H7" s="12" t="s">
        <v>762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763</v>
      </c>
      <c r="B8" s="12" t="s">
        <v>32</v>
      </c>
      <c r="C8" s="12" t="s">
        <v>53</v>
      </c>
      <c r="D8" s="12" t="s">
        <v>764</v>
      </c>
      <c r="E8" s="12" t="s">
        <v>751</v>
      </c>
      <c r="F8" s="12" t="s">
        <v>119</v>
      </c>
      <c r="G8" s="12" t="s">
        <v>752</v>
      </c>
      <c r="H8" s="12" t="s">
        <v>765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766</v>
      </c>
      <c r="B9" s="12" t="s">
        <v>32</v>
      </c>
      <c r="C9" s="12" t="s">
        <v>53</v>
      </c>
      <c r="D9" s="12" t="s">
        <v>767</v>
      </c>
      <c r="E9" s="12" t="s">
        <v>751</v>
      </c>
      <c r="F9" s="12" t="s">
        <v>119</v>
      </c>
      <c r="G9" s="12" t="s">
        <v>752</v>
      </c>
      <c r="H9" s="12" t="s">
        <v>768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769</v>
      </c>
      <c r="B10" s="12" t="s">
        <v>32</v>
      </c>
      <c r="C10" s="12" t="s">
        <v>53</v>
      </c>
      <c r="D10" s="12" t="s">
        <v>770</v>
      </c>
      <c r="E10" s="12" t="s">
        <v>751</v>
      </c>
      <c r="F10" s="12" t="s">
        <v>119</v>
      </c>
      <c r="G10" s="12" t="s">
        <v>752</v>
      </c>
      <c r="H10" s="12" t="s">
        <v>771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772</v>
      </c>
      <c r="B11" s="12" t="s">
        <v>32</v>
      </c>
      <c r="C11" s="12" t="s">
        <v>53</v>
      </c>
      <c r="D11" s="12" t="s">
        <v>773</v>
      </c>
      <c r="E11" s="12" t="s">
        <v>751</v>
      </c>
      <c r="F11" s="12" t="s">
        <v>119</v>
      </c>
      <c r="G11" s="12" t="s">
        <v>752</v>
      </c>
      <c r="H11" s="12" t="s">
        <v>774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775</v>
      </c>
      <c r="B12" s="12" t="s">
        <v>32</v>
      </c>
      <c r="C12" s="12" t="s">
        <v>53</v>
      </c>
      <c r="D12" s="12" t="s">
        <v>776</v>
      </c>
      <c r="E12" s="12" t="s">
        <v>751</v>
      </c>
      <c r="F12" s="12" t="s">
        <v>119</v>
      </c>
      <c r="G12" s="12" t="s">
        <v>752</v>
      </c>
      <c r="H12" s="12" t="s">
        <v>777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778</v>
      </c>
      <c r="B13" s="12" t="s">
        <v>32</v>
      </c>
      <c r="C13" s="12" t="s">
        <v>53</v>
      </c>
      <c r="D13" s="12" t="s">
        <v>676</v>
      </c>
      <c r="E13" s="12" t="s">
        <v>751</v>
      </c>
      <c r="F13" s="12" t="s">
        <v>119</v>
      </c>
      <c r="G13" s="12" t="s">
        <v>752</v>
      </c>
      <c r="H13" s="12" t="s">
        <v>677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779</v>
      </c>
      <c r="B14" s="12" t="s">
        <v>32</v>
      </c>
      <c r="C14" s="12" t="s">
        <v>53</v>
      </c>
      <c r="D14" s="12" t="s">
        <v>780</v>
      </c>
      <c r="E14" s="12" t="s">
        <v>781</v>
      </c>
      <c r="F14" s="12" t="s">
        <v>782</v>
      </c>
      <c r="G14" s="12" t="s">
        <v>783</v>
      </c>
      <c r="H14" s="12" t="s">
        <v>784</v>
      </c>
      <c r="I14" s="12" t="s">
        <v>132</v>
      </c>
      <c r="J14" s="12" t="s">
        <v>122</v>
      </c>
      <c r="K14" s="12"/>
      <c r="L14" s="12" t="s">
        <v>123</v>
      </c>
    </row>
    <row r="15">
      <c r="A15" s="12" t="s">
        <v>785</v>
      </c>
      <c r="B15" s="12" t="s">
        <v>32</v>
      </c>
      <c r="C15" s="12" t="s">
        <v>53</v>
      </c>
      <c r="D15" s="12" t="s">
        <v>786</v>
      </c>
      <c r="E15" s="12" t="s">
        <v>781</v>
      </c>
      <c r="F15" s="12" t="s">
        <v>787</v>
      </c>
      <c r="G15" s="12" t="s">
        <v>788</v>
      </c>
      <c r="H15" s="12" t="s">
        <v>789</v>
      </c>
      <c r="I15" s="12" t="s">
        <v>132</v>
      </c>
      <c r="J15" s="12" t="s">
        <v>122</v>
      </c>
      <c r="K15" s="12"/>
      <c r="L15" s="12" t="s">
        <v>123</v>
      </c>
    </row>
    <row r="16">
      <c r="A16" s="12" t="s">
        <v>790</v>
      </c>
      <c r="B16" s="12" t="s">
        <v>1</v>
      </c>
      <c r="C16" s="12" t="s">
        <v>53</v>
      </c>
      <c r="D16" s="12" t="s">
        <v>791</v>
      </c>
      <c r="E16" s="12" t="s">
        <v>792</v>
      </c>
      <c r="F16" s="12" t="s">
        <v>793</v>
      </c>
      <c r="G16" s="12" t="s">
        <v>794</v>
      </c>
      <c r="H16" s="12" t="s">
        <v>795</v>
      </c>
      <c r="I16" s="12" t="s">
        <v>132</v>
      </c>
      <c r="J16" s="12" t="s">
        <v>122</v>
      </c>
      <c r="K16" s="12"/>
      <c r="L16" s="12" t="s">
        <v>203</v>
      </c>
    </row>
    <row r="17">
      <c r="A17" s="12" t="s">
        <v>796</v>
      </c>
      <c r="B17" s="12" t="s">
        <v>1</v>
      </c>
      <c r="C17" s="12" t="s">
        <v>53</v>
      </c>
      <c r="D17" s="12" t="s">
        <v>797</v>
      </c>
      <c r="E17" s="12" t="s">
        <v>798</v>
      </c>
      <c r="F17" s="12" t="s">
        <v>799</v>
      </c>
      <c r="G17" s="12" t="s">
        <v>794</v>
      </c>
      <c r="H17" s="12" t="s">
        <v>800</v>
      </c>
      <c r="I17" s="12" t="s">
        <v>132</v>
      </c>
      <c r="J17" s="12" t="s">
        <v>122</v>
      </c>
      <c r="K17" s="12"/>
      <c r="L17" s="12" t="s">
        <v>203</v>
      </c>
    </row>
    <row r="18">
      <c r="A18" s="12" t="s">
        <v>801</v>
      </c>
      <c r="B18" s="12" t="s">
        <v>1</v>
      </c>
      <c r="C18" s="12" t="s">
        <v>53</v>
      </c>
      <c r="D18" s="12" t="s">
        <v>802</v>
      </c>
      <c r="E18" s="12" t="s">
        <v>781</v>
      </c>
      <c r="F18" s="12" t="s">
        <v>119</v>
      </c>
      <c r="G18" s="12" t="s">
        <v>803</v>
      </c>
      <c r="H18" s="12" t="s">
        <v>804</v>
      </c>
      <c r="I18" s="12" t="s">
        <v>132</v>
      </c>
      <c r="J18" s="12" t="s">
        <v>122</v>
      </c>
      <c r="K18" s="12"/>
      <c r="L18" s="12" t="s">
        <v>203</v>
      </c>
    </row>
    <row r="19">
      <c r="A19" s="12" t="s">
        <v>805</v>
      </c>
      <c r="B19" s="12" t="s">
        <v>37</v>
      </c>
      <c r="C19" s="12" t="s">
        <v>53</v>
      </c>
      <c r="D19" s="12" t="s">
        <v>806</v>
      </c>
      <c r="E19" s="12" t="s">
        <v>807</v>
      </c>
      <c r="F19" s="12" t="s">
        <v>808</v>
      </c>
      <c r="G19" s="12" t="s">
        <v>413</v>
      </c>
      <c r="H19" s="12" t="s">
        <v>809</v>
      </c>
      <c r="I19" s="12" t="s">
        <v>302</v>
      </c>
      <c r="J19" s="12" t="s">
        <v>122</v>
      </c>
      <c r="K19" s="12"/>
      <c r="L19" s="12" t="s">
        <v>303</v>
      </c>
    </row>
    <row r="20">
      <c r="A20" s="12" t="s">
        <v>810</v>
      </c>
      <c r="B20" s="12" t="s">
        <v>37</v>
      </c>
      <c r="C20" s="12" t="s">
        <v>53</v>
      </c>
      <c r="D20" s="12" t="s">
        <v>811</v>
      </c>
      <c r="E20" s="12" t="s">
        <v>807</v>
      </c>
      <c r="F20" s="12" t="s">
        <v>812</v>
      </c>
      <c r="G20" s="12" t="s">
        <v>413</v>
      </c>
      <c r="H20" s="12" t="s">
        <v>813</v>
      </c>
      <c r="I20" s="12" t="s">
        <v>302</v>
      </c>
      <c r="J20" s="12" t="s">
        <v>122</v>
      </c>
      <c r="K20" s="12"/>
      <c r="L20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20">
    <cfRule type="expression" dxfId="0" priority="1">
      <formula>B4="Unit"</formula>
    </cfRule>
  </conditionalFormatting>
  <conditionalFormatting sqref="B4:B20">
    <cfRule type="expression" dxfId="1" priority="2">
      <formula>B4="Integration"</formula>
    </cfRule>
  </conditionalFormatting>
  <conditionalFormatting sqref="B4:B20">
    <cfRule type="expression" dxfId="2" priority="3">
      <formula>B4="System"</formula>
    </cfRule>
  </conditionalFormatting>
  <conditionalFormatting sqref="B4:B20">
    <cfRule type="expression" dxfId="3" priority="4">
      <formula>B4="UAT"</formula>
    </cfRule>
  </conditionalFormatting>
  <dataValidations>
    <dataValidation type="list" allowBlank="1" sqref="B4:B20">
      <formula1>"Unit,Integration,System,UAT"</formula1>
    </dataValidation>
    <dataValidation type="list" allowBlank="1" sqref="I4:I20">
      <formula1>"N/A,standard_user,locked_out_user,problem_user,performance_glitch_user,error_user,visual_user,Multiple Relevant Users,All Applicable Users,Representative User"</formula1>
    </dataValidation>
    <dataValidation type="list" allowBlank="1" sqref="L4:L20">
      <formula1>"No,Yes,Candidate"</formula1>
    </dataValidation>
    <dataValidation type="list" allowBlank="1" sqref="J4:J20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814</v>
      </c>
    </row>
    <row r="2" ht="21.75" customHeight="1">
      <c r="A2" s="6" t="s">
        <v>815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816</v>
      </c>
      <c r="B4" s="12" t="s">
        <v>32</v>
      </c>
      <c r="C4" s="12" t="s">
        <v>55</v>
      </c>
      <c r="D4" s="12" t="s">
        <v>817</v>
      </c>
      <c r="E4" s="12" t="s">
        <v>818</v>
      </c>
      <c r="F4" s="12" t="s">
        <v>119</v>
      </c>
      <c r="G4" s="12" t="s">
        <v>819</v>
      </c>
      <c r="H4" s="12" t="s">
        <v>820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821</v>
      </c>
      <c r="B5" s="12" t="s">
        <v>32</v>
      </c>
      <c r="C5" s="12" t="s">
        <v>55</v>
      </c>
      <c r="D5" s="12" t="s">
        <v>822</v>
      </c>
      <c r="E5" s="12" t="s">
        <v>818</v>
      </c>
      <c r="F5" s="12" t="s">
        <v>119</v>
      </c>
      <c r="G5" s="12" t="s">
        <v>819</v>
      </c>
      <c r="H5" s="12" t="s">
        <v>823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824</v>
      </c>
      <c r="B6" s="12" t="s">
        <v>32</v>
      </c>
      <c r="C6" s="12" t="s">
        <v>55</v>
      </c>
      <c r="D6" s="12" t="s">
        <v>825</v>
      </c>
      <c r="E6" s="12" t="s">
        <v>818</v>
      </c>
      <c r="F6" s="12" t="s">
        <v>119</v>
      </c>
      <c r="G6" s="12" t="s">
        <v>819</v>
      </c>
      <c r="H6" s="12" t="s">
        <v>826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827</v>
      </c>
      <c r="B7" s="12" t="s">
        <v>1</v>
      </c>
      <c r="C7" s="12" t="s">
        <v>55</v>
      </c>
      <c r="D7" s="12" t="s">
        <v>828</v>
      </c>
      <c r="E7" s="12" t="s">
        <v>829</v>
      </c>
      <c r="F7" s="12" t="s">
        <v>119</v>
      </c>
      <c r="G7" s="12" t="s">
        <v>803</v>
      </c>
      <c r="H7" s="12" t="s">
        <v>830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831</v>
      </c>
      <c r="B8" s="12" t="s">
        <v>1</v>
      </c>
      <c r="C8" s="12" t="s">
        <v>55</v>
      </c>
      <c r="D8" s="12" t="s">
        <v>832</v>
      </c>
      <c r="E8" s="12" t="s">
        <v>833</v>
      </c>
      <c r="F8" s="12" t="s">
        <v>119</v>
      </c>
      <c r="G8" s="12" t="s">
        <v>834</v>
      </c>
      <c r="H8" s="12" t="s">
        <v>524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835</v>
      </c>
      <c r="B9" s="12" t="s">
        <v>1</v>
      </c>
      <c r="C9" s="12" t="s">
        <v>55</v>
      </c>
      <c r="D9" s="12" t="s">
        <v>836</v>
      </c>
      <c r="E9" s="12" t="s">
        <v>818</v>
      </c>
      <c r="F9" s="12" t="s">
        <v>837</v>
      </c>
      <c r="G9" s="12" t="s">
        <v>838</v>
      </c>
      <c r="H9" s="12" t="s">
        <v>839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840</v>
      </c>
      <c r="B10" s="12" t="s">
        <v>1</v>
      </c>
      <c r="C10" s="12" t="s">
        <v>55</v>
      </c>
      <c r="D10" s="12" t="s">
        <v>841</v>
      </c>
      <c r="E10" s="12" t="s">
        <v>818</v>
      </c>
      <c r="F10" s="12" t="s">
        <v>837</v>
      </c>
      <c r="G10" s="12" t="s">
        <v>582</v>
      </c>
      <c r="H10" s="12" t="s">
        <v>842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843</v>
      </c>
      <c r="B11" s="12" t="s">
        <v>1</v>
      </c>
      <c r="C11" s="12" t="s">
        <v>55</v>
      </c>
      <c r="D11" s="12" t="s">
        <v>844</v>
      </c>
      <c r="E11" s="12" t="s">
        <v>833</v>
      </c>
      <c r="F11" s="12" t="s">
        <v>119</v>
      </c>
      <c r="G11" s="12" t="s">
        <v>845</v>
      </c>
      <c r="H11" s="12" t="s">
        <v>846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847</v>
      </c>
      <c r="B12" s="12" t="s">
        <v>37</v>
      </c>
      <c r="C12" s="12" t="s">
        <v>55</v>
      </c>
      <c r="D12" s="12" t="s">
        <v>848</v>
      </c>
      <c r="E12" s="12" t="s">
        <v>849</v>
      </c>
      <c r="F12" s="12" t="s">
        <v>850</v>
      </c>
      <c r="G12" s="12" t="s">
        <v>413</v>
      </c>
      <c r="H12" s="12" t="s">
        <v>851</v>
      </c>
      <c r="I12" s="12" t="s">
        <v>302</v>
      </c>
      <c r="J12" s="12" t="s">
        <v>122</v>
      </c>
      <c r="K12" s="12"/>
      <c r="L12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2">
    <cfRule type="expression" dxfId="0" priority="1">
      <formula>B4="Unit"</formula>
    </cfRule>
  </conditionalFormatting>
  <conditionalFormatting sqref="B4:B12">
    <cfRule type="expression" dxfId="1" priority="2">
      <formula>B4="Integration"</formula>
    </cfRule>
  </conditionalFormatting>
  <conditionalFormatting sqref="B4:B12">
    <cfRule type="expression" dxfId="2" priority="3">
      <formula>B4="System"</formula>
    </cfRule>
  </conditionalFormatting>
  <conditionalFormatting sqref="B4:B12">
    <cfRule type="expression" dxfId="3" priority="4">
      <formula>B4="UAT"</formula>
    </cfRule>
  </conditionalFormatting>
  <dataValidations>
    <dataValidation type="list" allowBlank="1" sqref="B4:B12">
      <formula1>"Unit,Integration,System,UAT"</formula1>
    </dataValidation>
    <dataValidation type="list" allowBlank="1" sqref="I4:I12">
      <formula1>"N/A,standard_user,locked_out_user,problem_user,performance_glitch_user,error_user,visual_user,Multiple Relevant Users,All Applicable Users,Representative User"</formula1>
    </dataValidation>
    <dataValidation type="list" allowBlank="1" sqref="L4:L12">
      <formula1>"No,Yes,Candidate"</formula1>
    </dataValidation>
    <dataValidation type="list" allowBlank="1" sqref="J4:J12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852</v>
      </c>
    </row>
    <row r="2" ht="21.75" customHeight="1">
      <c r="A2" s="6" t="s">
        <v>853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854</v>
      </c>
      <c r="B4" s="12" t="s">
        <v>32</v>
      </c>
      <c r="C4" s="12" t="s">
        <v>57</v>
      </c>
      <c r="D4" s="12" t="s">
        <v>855</v>
      </c>
      <c r="E4" s="12" t="s">
        <v>312</v>
      </c>
      <c r="F4" s="12" t="s">
        <v>119</v>
      </c>
      <c r="G4" s="12" t="s">
        <v>345</v>
      </c>
      <c r="H4" s="12" t="s">
        <v>856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857</v>
      </c>
      <c r="B5" s="12" t="s">
        <v>32</v>
      </c>
      <c r="C5" s="12" t="s">
        <v>57</v>
      </c>
      <c r="D5" s="12" t="s">
        <v>858</v>
      </c>
      <c r="E5" s="12" t="s">
        <v>312</v>
      </c>
      <c r="F5" s="12" t="s">
        <v>119</v>
      </c>
      <c r="G5" s="12" t="s">
        <v>859</v>
      </c>
      <c r="H5" s="12" t="s">
        <v>860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861</v>
      </c>
      <c r="B6" s="12" t="s">
        <v>32</v>
      </c>
      <c r="C6" s="12" t="s">
        <v>57</v>
      </c>
      <c r="D6" s="12" t="s">
        <v>862</v>
      </c>
      <c r="E6" s="12" t="s">
        <v>863</v>
      </c>
      <c r="F6" s="12" t="s">
        <v>119</v>
      </c>
      <c r="G6" s="12" t="s">
        <v>864</v>
      </c>
      <c r="H6" s="12" t="s">
        <v>865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866</v>
      </c>
      <c r="B7" s="12" t="s">
        <v>32</v>
      </c>
      <c r="C7" s="12" t="s">
        <v>57</v>
      </c>
      <c r="D7" s="12" t="s">
        <v>867</v>
      </c>
      <c r="E7" s="12" t="s">
        <v>863</v>
      </c>
      <c r="F7" s="12" t="s">
        <v>119</v>
      </c>
      <c r="G7" s="12" t="s">
        <v>868</v>
      </c>
      <c r="H7" s="12" t="s">
        <v>869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870</v>
      </c>
      <c r="B8" s="12" t="s">
        <v>32</v>
      </c>
      <c r="C8" s="12" t="s">
        <v>57</v>
      </c>
      <c r="D8" s="12" t="s">
        <v>871</v>
      </c>
      <c r="E8" s="12" t="s">
        <v>863</v>
      </c>
      <c r="F8" s="12" t="s">
        <v>119</v>
      </c>
      <c r="G8" s="12" t="s">
        <v>864</v>
      </c>
      <c r="H8" s="12" t="s">
        <v>872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873</v>
      </c>
      <c r="B9" s="12" t="s">
        <v>34</v>
      </c>
      <c r="C9" s="12" t="s">
        <v>57</v>
      </c>
      <c r="D9" s="12" t="s">
        <v>874</v>
      </c>
      <c r="E9" s="12" t="s">
        <v>863</v>
      </c>
      <c r="F9" s="12" t="s">
        <v>119</v>
      </c>
      <c r="G9" s="12" t="s">
        <v>875</v>
      </c>
      <c r="H9" s="12" t="s">
        <v>876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877</v>
      </c>
      <c r="B10" s="12" t="s">
        <v>32</v>
      </c>
      <c r="C10" s="12" t="s">
        <v>57</v>
      </c>
      <c r="D10" s="12" t="s">
        <v>878</v>
      </c>
      <c r="E10" s="12" t="s">
        <v>863</v>
      </c>
      <c r="F10" s="12" t="s">
        <v>119</v>
      </c>
      <c r="G10" s="12" t="s">
        <v>864</v>
      </c>
      <c r="H10" s="12" t="s">
        <v>879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880</v>
      </c>
      <c r="B11" s="12" t="s">
        <v>34</v>
      </c>
      <c r="C11" s="12" t="s">
        <v>57</v>
      </c>
      <c r="D11" s="12" t="s">
        <v>881</v>
      </c>
      <c r="E11" s="12" t="s">
        <v>863</v>
      </c>
      <c r="F11" s="12" t="s">
        <v>119</v>
      </c>
      <c r="G11" s="12" t="s">
        <v>882</v>
      </c>
      <c r="H11" s="12" t="s">
        <v>883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884</v>
      </c>
      <c r="B12" s="12" t="s">
        <v>32</v>
      </c>
      <c r="C12" s="12" t="s">
        <v>57</v>
      </c>
      <c r="D12" s="12" t="s">
        <v>885</v>
      </c>
      <c r="E12" s="12" t="s">
        <v>863</v>
      </c>
      <c r="F12" s="12" t="s">
        <v>119</v>
      </c>
      <c r="G12" s="12" t="s">
        <v>864</v>
      </c>
      <c r="H12" s="12" t="s">
        <v>281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886</v>
      </c>
      <c r="B13" s="12" t="s">
        <v>34</v>
      </c>
      <c r="C13" s="12" t="s">
        <v>57</v>
      </c>
      <c r="D13" s="12" t="s">
        <v>887</v>
      </c>
      <c r="E13" s="12" t="s">
        <v>863</v>
      </c>
      <c r="F13" s="12" t="s">
        <v>119</v>
      </c>
      <c r="G13" s="12" t="s">
        <v>888</v>
      </c>
      <c r="H13" s="12" t="s">
        <v>889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890</v>
      </c>
      <c r="B14" s="12" t="s">
        <v>34</v>
      </c>
      <c r="C14" s="12" t="s">
        <v>57</v>
      </c>
      <c r="D14" s="12" t="s">
        <v>891</v>
      </c>
      <c r="E14" s="12" t="s">
        <v>863</v>
      </c>
      <c r="F14" s="12" t="s">
        <v>119</v>
      </c>
      <c r="G14" s="12" t="s">
        <v>892</v>
      </c>
      <c r="H14" s="12" t="s">
        <v>893</v>
      </c>
      <c r="I14" s="12" t="s">
        <v>132</v>
      </c>
      <c r="J14" s="12" t="s">
        <v>122</v>
      </c>
      <c r="K14" s="12"/>
      <c r="L14" s="12" t="s">
        <v>203</v>
      </c>
    </row>
    <row r="15">
      <c r="A15" s="12" t="s">
        <v>894</v>
      </c>
      <c r="B15" s="12" t="s">
        <v>37</v>
      </c>
      <c r="C15" s="12" t="s">
        <v>57</v>
      </c>
      <c r="D15" s="12" t="s">
        <v>895</v>
      </c>
      <c r="E15" s="12" t="s">
        <v>896</v>
      </c>
      <c r="F15" s="12" t="s">
        <v>897</v>
      </c>
      <c r="G15" s="12" t="s">
        <v>413</v>
      </c>
      <c r="H15" s="12" t="s">
        <v>898</v>
      </c>
      <c r="I15" s="12" t="s">
        <v>302</v>
      </c>
      <c r="J15" s="12" t="s">
        <v>122</v>
      </c>
      <c r="K15" s="12"/>
      <c r="L15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5">
    <cfRule type="expression" dxfId="0" priority="1">
      <formula>B4="Unit"</formula>
    </cfRule>
  </conditionalFormatting>
  <conditionalFormatting sqref="B4:B15">
    <cfRule type="expression" dxfId="1" priority="2">
      <formula>B4="Integration"</formula>
    </cfRule>
  </conditionalFormatting>
  <conditionalFormatting sqref="B4:B15">
    <cfRule type="expression" dxfId="2" priority="3">
      <formula>B4="System"</formula>
    </cfRule>
  </conditionalFormatting>
  <conditionalFormatting sqref="B4:B15">
    <cfRule type="expression" dxfId="3" priority="4">
      <formula>B4="UAT"</formula>
    </cfRule>
  </conditionalFormatting>
  <dataValidations>
    <dataValidation type="list" allowBlank="1" sqref="B4:B15">
      <formula1>"Unit,Integration,System,UAT"</formula1>
    </dataValidation>
    <dataValidation type="list" allowBlank="1" sqref="I4:I15">
      <formula1>"N/A,standard_user,locked_out_user,problem_user,performance_glitch_user,error_user,visual_user,Multiple Relevant Users,All Applicable Users,Representative User"</formula1>
    </dataValidation>
    <dataValidation type="list" allowBlank="1" sqref="L4:L15">
      <formula1>"No,Yes,Candidate"</formula1>
    </dataValidation>
    <dataValidation type="list" allowBlank="1" sqref="J4:J15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899</v>
      </c>
    </row>
    <row r="2" ht="21.75" customHeight="1">
      <c r="A2" s="6" t="s">
        <v>900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901</v>
      </c>
      <c r="B4" s="12" t="s">
        <v>1</v>
      </c>
      <c r="C4" s="12" t="s">
        <v>59</v>
      </c>
      <c r="D4" s="12" t="s">
        <v>902</v>
      </c>
      <c r="E4" s="12" t="s">
        <v>903</v>
      </c>
      <c r="F4" s="12" t="s">
        <v>119</v>
      </c>
      <c r="G4" s="12" t="s">
        <v>864</v>
      </c>
      <c r="H4" s="12" t="s">
        <v>902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904</v>
      </c>
      <c r="B5" s="12" t="s">
        <v>1</v>
      </c>
      <c r="C5" s="12" t="s">
        <v>59</v>
      </c>
      <c r="D5" s="12" t="s">
        <v>905</v>
      </c>
      <c r="E5" s="12" t="s">
        <v>600</v>
      </c>
      <c r="F5" s="12" t="s">
        <v>601</v>
      </c>
      <c r="G5" s="12" t="s">
        <v>906</v>
      </c>
      <c r="H5" s="12" t="s">
        <v>907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908</v>
      </c>
      <c r="B6" s="12" t="s">
        <v>1</v>
      </c>
      <c r="C6" s="12" t="s">
        <v>59</v>
      </c>
      <c r="D6" s="12" t="s">
        <v>909</v>
      </c>
      <c r="E6" s="12" t="s">
        <v>600</v>
      </c>
      <c r="F6" s="12" t="s">
        <v>601</v>
      </c>
      <c r="G6" s="12" t="s">
        <v>910</v>
      </c>
      <c r="H6" s="12" t="s">
        <v>911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912</v>
      </c>
      <c r="B7" s="12" t="s">
        <v>1</v>
      </c>
      <c r="C7" s="12" t="s">
        <v>59</v>
      </c>
      <c r="D7" s="12" t="s">
        <v>913</v>
      </c>
      <c r="E7" s="12" t="s">
        <v>914</v>
      </c>
      <c r="F7" s="12" t="s">
        <v>601</v>
      </c>
      <c r="G7" s="12" t="s">
        <v>915</v>
      </c>
      <c r="H7" s="12" t="s">
        <v>916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917</v>
      </c>
      <c r="B8" s="12" t="s">
        <v>1</v>
      </c>
      <c r="C8" s="12" t="s">
        <v>59</v>
      </c>
      <c r="D8" s="12" t="s">
        <v>918</v>
      </c>
      <c r="E8" s="12" t="s">
        <v>312</v>
      </c>
      <c r="F8" s="12" t="s">
        <v>119</v>
      </c>
      <c r="G8" s="12" t="s">
        <v>919</v>
      </c>
      <c r="H8" s="12" t="s">
        <v>920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921</v>
      </c>
      <c r="B9" s="12" t="s">
        <v>1</v>
      </c>
      <c r="C9" s="12" t="s">
        <v>59</v>
      </c>
      <c r="D9" s="12" t="s">
        <v>922</v>
      </c>
      <c r="E9" s="12" t="s">
        <v>312</v>
      </c>
      <c r="F9" s="12" t="s">
        <v>119</v>
      </c>
      <c r="G9" s="12" t="s">
        <v>923</v>
      </c>
      <c r="H9" s="12" t="s">
        <v>924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925</v>
      </c>
      <c r="B10" s="12" t="s">
        <v>1</v>
      </c>
      <c r="C10" s="12" t="s">
        <v>59</v>
      </c>
      <c r="D10" s="12" t="s">
        <v>926</v>
      </c>
      <c r="E10" s="12" t="s">
        <v>927</v>
      </c>
      <c r="F10" s="12" t="s">
        <v>119</v>
      </c>
      <c r="G10" s="12" t="s">
        <v>928</v>
      </c>
      <c r="H10" s="12" t="s">
        <v>929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930</v>
      </c>
      <c r="B11" s="12" t="s">
        <v>37</v>
      </c>
      <c r="C11" s="12" t="s">
        <v>59</v>
      </c>
      <c r="D11" s="12" t="s">
        <v>931</v>
      </c>
      <c r="E11" s="12" t="s">
        <v>932</v>
      </c>
      <c r="F11" s="12" t="s">
        <v>933</v>
      </c>
      <c r="G11" s="12" t="s">
        <v>934</v>
      </c>
      <c r="H11" s="12" t="s">
        <v>935</v>
      </c>
      <c r="I11" s="12" t="s">
        <v>302</v>
      </c>
      <c r="J11" s="12" t="s">
        <v>122</v>
      </c>
      <c r="K11" s="12"/>
      <c r="L11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1">
    <cfRule type="expression" dxfId="0" priority="1">
      <formula>B4="Unit"</formula>
    </cfRule>
  </conditionalFormatting>
  <conditionalFormatting sqref="B4:B11">
    <cfRule type="expression" dxfId="1" priority="2">
      <formula>B4="Integration"</formula>
    </cfRule>
  </conditionalFormatting>
  <conditionalFormatting sqref="B4:B11">
    <cfRule type="expression" dxfId="2" priority="3">
      <formula>B4="System"</formula>
    </cfRule>
  </conditionalFormatting>
  <conditionalFormatting sqref="B4:B11">
    <cfRule type="expression" dxfId="3" priority="4">
      <formula>B4="UAT"</formula>
    </cfRule>
  </conditionalFormatting>
  <dataValidations>
    <dataValidation type="list" allowBlank="1" sqref="B4:B11">
      <formula1>"Unit,Integration,System,UAT"</formula1>
    </dataValidation>
    <dataValidation type="list" allowBlank="1" sqref="I4:I11">
      <formula1>"N/A,standard_user,locked_out_user,problem_user,performance_glitch_user,error_user,visual_user,Multiple Relevant Users,All Applicable Users,Representative User"</formula1>
    </dataValidation>
    <dataValidation type="list" allowBlank="1" sqref="L4:L11">
      <formula1>"No,Yes,Candidate"</formula1>
    </dataValidation>
    <dataValidation type="list" allowBlank="1" sqref="J4:J11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936</v>
      </c>
    </row>
    <row r="2" ht="21.75" customHeight="1">
      <c r="A2" s="6" t="s">
        <v>937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938</v>
      </c>
      <c r="B4" s="12" t="s">
        <v>1</v>
      </c>
      <c r="C4" s="12" t="s">
        <v>61</v>
      </c>
      <c r="D4" s="12" t="s">
        <v>939</v>
      </c>
      <c r="E4" s="12" t="s">
        <v>940</v>
      </c>
      <c r="F4" s="12" t="s">
        <v>293</v>
      </c>
      <c r="G4" s="12" t="s">
        <v>941</v>
      </c>
      <c r="H4" s="12" t="s">
        <v>942</v>
      </c>
      <c r="I4" s="12" t="s">
        <v>119</v>
      </c>
      <c r="J4" s="12" t="s">
        <v>122</v>
      </c>
      <c r="K4" s="12"/>
      <c r="L4" s="12" t="s">
        <v>203</v>
      </c>
    </row>
    <row r="5">
      <c r="A5" s="12" t="s">
        <v>943</v>
      </c>
      <c r="B5" s="12" t="s">
        <v>1</v>
      </c>
      <c r="C5" s="12" t="s">
        <v>61</v>
      </c>
      <c r="D5" s="12" t="s">
        <v>944</v>
      </c>
      <c r="E5" s="12" t="s">
        <v>940</v>
      </c>
      <c r="F5" s="12" t="s">
        <v>945</v>
      </c>
      <c r="G5" s="12" t="s">
        <v>946</v>
      </c>
      <c r="H5" s="12" t="s">
        <v>942</v>
      </c>
      <c r="I5" s="12" t="s">
        <v>119</v>
      </c>
      <c r="J5" s="12" t="s">
        <v>122</v>
      </c>
      <c r="K5" s="12"/>
      <c r="L5" s="12" t="s">
        <v>203</v>
      </c>
    </row>
    <row r="6">
      <c r="A6" s="12" t="s">
        <v>947</v>
      </c>
      <c r="B6" s="12" t="s">
        <v>1</v>
      </c>
      <c r="C6" s="12" t="s">
        <v>61</v>
      </c>
      <c r="D6" s="12" t="s">
        <v>948</v>
      </c>
      <c r="E6" s="12" t="s">
        <v>940</v>
      </c>
      <c r="F6" s="12" t="s">
        <v>949</v>
      </c>
      <c r="G6" s="12" t="s">
        <v>950</v>
      </c>
      <c r="H6" s="12" t="s">
        <v>942</v>
      </c>
      <c r="I6" s="12" t="s">
        <v>119</v>
      </c>
      <c r="J6" s="12" t="s">
        <v>122</v>
      </c>
      <c r="K6" s="12"/>
      <c r="L6" s="12" t="s">
        <v>203</v>
      </c>
    </row>
    <row r="7">
      <c r="A7" s="12" t="s">
        <v>951</v>
      </c>
      <c r="B7" s="12" t="s">
        <v>1</v>
      </c>
      <c r="C7" s="12" t="s">
        <v>61</v>
      </c>
      <c r="D7" s="12" t="s">
        <v>952</v>
      </c>
      <c r="E7" s="12" t="s">
        <v>940</v>
      </c>
      <c r="F7" s="12" t="s">
        <v>953</v>
      </c>
      <c r="G7" s="12" t="s">
        <v>954</v>
      </c>
      <c r="H7" s="12" t="s">
        <v>942</v>
      </c>
      <c r="I7" s="12" t="s">
        <v>119</v>
      </c>
      <c r="J7" s="12" t="s">
        <v>122</v>
      </c>
      <c r="K7" s="12"/>
      <c r="L7" s="12" t="s">
        <v>203</v>
      </c>
    </row>
    <row r="8">
      <c r="A8" s="12" t="s">
        <v>955</v>
      </c>
      <c r="B8" s="12" t="s">
        <v>1</v>
      </c>
      <c r="C8" s="12" t="s">
        <v>61</v>
      </c>
      <c r="D8" s="12" t="s">
        <v>956</v>
      </c>
      <c r="E8" s="12" t="s">
        <v>940</v>
      </c>
      <c r="F8" s="12" t="s">
        <v>957</v>
      </c>
      <c r="G8" s="12" t="s">
        <v>958</v>
      </c>
      <c r="H8" s="12" t="s">
        <v>942</v>
      </c>
      <c r="I8" s="12" t="s">
        <v>119</v>
      </c>
      <c r="J8" s="12" t="s">
        <v>122</v>
      </c>
      <c r="K8" s="12"/>
      <c r="L8" s="12" t="s">
        <v>203</v>
      </c>
    </row>
    <row r="9">
      <c r="A9" s="12" t="s">
        <v>959</v>
      </c>
      <c r="B9" s="12" t="s">
        <v>1</v>
      </c>
      <c r="C9" s="12" t="s">
        <v>61</v>
      </c>
      <c r="D9" s="12" t="s">
        <v>960</v>
      </c>
      <c r="E9" s="12" t="s">
        <v>961</v>
      </c>
      <c r="F9" s="12" t="s">
        <v>293</v>
      </c>
      <c r="G9" s="12" t="s">
        <v>962</v>
      </c>
      <c r="H9" s="12" t="s">
        <v>963</v>
      </c>
      <c r="I9" s="12" t="s">
        <v>119</v>
      </c>
      <c r="J9" s="12" t="s">
        <v>122</v>
      </c>
      <c r="K9" s="12"/>
      <c r="L9" s="12" t="s">
        <v>203</v>
      </c>
    </row>
    <row r="10">
      <c r="A10" s="12" t="s">
        <v>964</v>
      </c>
      <c r="B10" s="12" t="s">
        <v>1</v>
      </c>
      <c r="C10" s="12" t="s">
        <v>61</v>
      </c>
      <c r="D10" s="12" t="s">
        <v>965</v>
      </c>
      <c r="E10" s="12" t="s">
        <v>961</v>
      </c>
      <c r="F10" s="12" t="s">
        <v>945</v>
      </c>
      <c r="G10" s="12" t="s">
        <v>966</v>
      </c>
      <c r="H10" s="12" t="s">
        <v>963</v>
      </c>
      <c r="I10" s="12" t="s">
        <v>119</v>
      </c>
      <c r="J10" s="12" t="s">
        <v>122</v>
      </c>
      <c r="K10" s="12"/>
      <c r="L10" s="12" t="s">
        <v>203</v>
      </c>
    </row>
    <row r="11">
      <c r="A11" s="12" t="s">
        <v>967</v>
      </c>
      <c r="B11" s="12" t="s">
        <v>34</v>
      </c>
      <c r="C11" s="12" t="s">
        <v>61</v>
      </c>
      <c r="D11" s="12" t="s">
        <v>968</v>
      </c>
      <c r="E11" s="12" t="s">
        <v>312</v>
      </c>
      <c r="F11" s="12" t="s">
        <v>119</v>
      </c>
      <c r="G11" s="12" t="s">
        <v>969</v>
      </c>
      <c r="H11" s="12" t="s">
        <v>970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971</v>
      </c>
      <c r="B12" s="12" t="s">
        <v>34</v>
      </c>
      <c r="C12" s="12" t="s">
        <v>61</v>
      </c>
      <c r="D12" s="12" t="s">
        <v>972</v>
      </c>
      <c r="E12" s="12" t="s">
        <v>312</v>
      </c>
      <c r="F12" s="12" t="s">
        <v>973</v>
      </c>
      <c r="G12" s="12" t="s">
        <v>974</v>
      </c>
      <c r="H12" s="12" t="s">
        <v>975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976</v>
      </c>
      <c r="B13" s="12" t="s">
        <v>34</v>
      </c>
      <c r="C13" s="12" t="s">
        <v>61</v>
      </c>
      <c r="D13" s="12" t="s">
        <v>977</v>
      </c>
      <c r="E13" s="12" t="s">
        <v>312</v>
      </c>
      <c r="F13" s="12" t="s">
        <v>119</v>
      </c>
      <c r="G13" s="12" t="s">
        <v>978</v>
      </c>
      <c r="H13" s="12" t="s">
        <v>979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980</v>
      </c>
      <c r="B14" s="12" t="s">
        <v>1</v>
      </c>
      <c r="C14" s="12" t="s">
        <v>61</v>
      </c>
      <c r="D14" s="12" t="s">
        <v>981</v>
      </c>
      <c r="E14" s="12" t="s">
        <v>982</v>
      </c>
      <c r="F14" s="12" t="s">
        <v>983</v>
      </c>
      <c r="G14" s="12" t="s">
        <v>984</v>
      </c>
      <c r="H14" s="12" t="s">
        <v>985</v>
      </c>
      <c r="I14" s="12" t="s">
        <v>132</v>
      </c>
      <c r="J14" s="12" t="s">
        <v>122</v>
      </c>
      <c r="K14" s="12" t="s">
        <v>271</v>
      </c>
      <c r="L14" s="12" t="s">
        <v>203</v>
      </c>
    </row>
    <row r="15">
      <c r="A15" s="12" t="s">
        <v>986</v>
      </c>
      <c r="B15" s="12" t="s">
        <v>1</v>
      </c>
      <c r="C15" s="12" t="s">
        <v>61</v>
      </c>
      <c r="D15" s="12" t="s">
        <v>987</v>
      </c>
      <c r="E15" s="12" t="s">
        <v>288</v>
      </c>
      <c r="F15" s="12" t="s">
        <v>119</v>
      </c>
      <c r="G15" s="12" t="s">
        <v>988</v>
      </c>
      <c r="H15" s="12" t="s">
        <v>989</v>
      </c>
      <c r="I15" s="12" t="s">
        <v>132</v>
      </c>
      <c r="J15" s="12" t="s">
        <v>122</v>
      </c>
      <c r="K15" s="12" t="s">
        <v>271</v>
      </c>
      <c r="L15" s="12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5">
    <cfRule type="expression" dxfId="0" priority="1">
      <formula>B4="Unit"</formula>
    </cfRule>
  </conditionalFormatting>
  <conditionalFormatting sqref="B4:B15">
    <cfRule type="expression" dxfId="1" priority="2">
      <formula>B4="Integration"</formula>
    </cfRule>
  </conditionalFormatting>
  <conditionalFormatting sqref="B4:B15">
    <cfRule type="expression" dxfId="2" priority="3">
      <formula>B4="System"</formula>
    </cfRule>
  </conditionalFormatting>
  <conditionalFormatting sqref="B4:B15">
    <cfRule type="expression" dxfId="3" priority="4">
      <formula>B4="UAT"</formula>
    </cfRule>
  </conditionalFormatting>
  <dataValidations>
    <dataValidation type="list" allowBlank="1" sqref="B4:B15">
      <formula1>"Unit,Integration,System,UAT"</formula1>
    </dataValidation>
    <dataValidation type="list" allowBlank="1" sqref="I4:I15">
      <formula1>"N/A,standard_user,locked_out_user,problem_user,performance_glitch_user,error_user,visual_user,Multiple Relevant Users,All Applicable Users,Representative User"</formula1>
    </dataValidation>
    <dataValidation type="list" allowBlank="1" sqref="L4:L15">
      <formula1>"No,Yes,Candidate"</formula1>
    </dataValidation>
    <dataValidation type="list" allowBlank="1" sqref="J4:J15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990</v>
      </c>
    </row>
    <row r="2" ht="21.75" customHeight="1">
      <c r="A2" s="6" t="s">
        <v>991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992</v>
      </c>
      <c r="B4" s="12" t="s">
        <v>32</v>
      </c>
      <c r="C4" s="12" t="s">
        <v>63</v>
      </c>
      <c r="D4" s="12" t="s">
        <v>993</v>
      </c>
      <c r="E4" s="12" t="s">
        <v>369</v>
      </c>
      <c r="F4" s="12" t="s">
        <v>119</v>
      </c>
      <c r="G4" s="12" t="s">
        <v>994</v>
      </c>
      <c r="H4" s="12" t="s">
        <v>995</v>
      </c>
      <c r="I4" s="12" t="s">
        <v>132</v>
      </c>
      <c r="J4" s="12" t="s">
        <v>122</v>
      </c>
      <c r="K4" s="12"/>
      <c r="L4" s="12" t="s">
        <v>203</v>
      </c>
    </row>
    <row r="5">
      <c r="A5" s="12" t="s">
        <v>996</v>
      </c>
      <c r="B5" s="12" t="s">
        <v>1</v>
      </c>
      <c r="C5" s="12" t="s">
        <v>63</v>
      </c>
      <c r="D5" s="12" t="s">
        <v>997</v>
      </c>
      <c r="E5" s="12" t="s">
        <v>998</v>
      </c>
      <c r="F5" s="12" t="s">
        <v>119</v>
      </c>
      <c r="G5" s="12" t="s">
        <v>999</v>
      </c>
      <c r="H5" s="12" t="s">
        <v>1000</v>
      </c>
      <c r="I5" s="12" t="s">
        <v>132</v>
      </c>
      <c r="J5" s="12" t="s">
        <v>122</v>
      </c>
      <c r="K5" s="12"/>
      <c r="L5" s="12" t="s">
        <v>203</v>
      </c>
    </row>
    <row r="6">
      <c r="A6" s="12" t="s">
        <v>1001</v>
      </c>
      <c r="B6" s="12" t="s">
        <v>32</v>
      </c>
      <c r="C6" s="12" t="s">
        <v>63</v>
      </c>
      <c r="D6" s="12" t="s">
        <v>1002</v>
      </c>
      <c r="E6" s="12" t="s">
        <v>369</v>
      </c>
      <c r="F6" s="12" t="s">
        <v>119</v>
      </c>
      <c r="G6" s="12" t="s">
        <v>994</v>
      </c>
      <c r="H6" s="12" t="s">
        <v>1003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1004</v>
      </c>
      <c r="B7" s="12" t="s">
        <v>1</v>
      </c>
      <c r="C7" s="12" t="s">
        <v>63</v>
      </c>
      <c r="D7" s="12" t="s">
        <v>1005</v>
      </c>
      <c r="E7" s="12" t="s">
        <v>998</v>
      </c>
      <c r="F7" s="12" t="s">
        <v>119</v>
      </c>
      <c r="G7" s="12" t="s">
        <v>1006</v>
      </c>
      <c r="H7" s="12" t="s">
        <v>1007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1008</v>
      </c>
      <c r="B8" s="12" t="s">
        <v>32</v>
      </c>
      <c r="C8" s="12" t="s">
        <v>63</v>
      </c>
      <c r="D8" s="12" t="s">
        <v>1009</v>
      </c>
      <c r="E8" s="12" t="s">
        <v>369</v>
      </c>
      <c r="F8" s="12" t="s">
        <v>119</v>
      </c>
      <c r="G8" s="12" t="s">
        <v>994</v>
      </c>
      <c r="H8" s="12" t="s">
        <v>1010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1011</v>
      </c>
      <c r="B9" s="12" t="s">
        <v>1</v>
      </c>
      <c r="C9" s="12" t="s">
        <v>63</v>
      </c>
      <c r="D9" s="12" t="s">
        <v>1012</v>
      </c>
      <c r="E9" s="12" t="s">
        <v>998</v>
      </c>
      <c r="F9" s="12" t="s">
        <v>119</v>
      </c>
      <c r="G9" s="12" t="s">
        <v>1013</v>
      </c>
      <c r="H9" s="12" t="s">
        <v>1014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1015</v>
      </c>
      <c r="B10" s="12" t="s">
        <v>32</v>
      </c>
      <c r="C10" s="12" t="s">
        <v>63</v>
      </c>
      <c r="D10" s="12" t="s">
        <v>1016</v>
      </c>
      <c r="E10" s="12" t="s">
        <v>312</v>
      </c>
      <c r="F10" s="12" t="s">
        <v>119</v>
      </c>
      <c r="G10" s="12" t="s">
        <v>994</v>
      </c>
      <c r="H10" s="12" t="s">
        <v>1017</v>
      </c>
      <c r="I10" s="12" t="s">
        <v>132</v>
      </c>
      <c r="J10" s="12" t="s">
        <v>122</v>
      </c>
      <c r="K10" s="12"/>
      <c r="L10" s="12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0">
    <cfRule type="expression" dxfId="0" priority="1">
      <formula>B4="Unit"</formula>
    </cfRule>
  </conditionalFormatting>
  <conditionalFormatting sqref="B4:B10">
    <cfRule type="expression" dxfId="1" priority="2">
      <formula>B4="Integration"</formula>
    </cfRule>
  </conditionalFormatting>
  <conditionalFormatting sqref="B4:B10">
    <cfRule type="expression" dxfId="2" priority="3">
      <formula>B4="System"</formula>
    </cfRule>
  </conditionalFormatting>
  <conditionalFormatting sqref="B4:B10">
    <cfRule type="expression" dxfId="3" priority="4">
      <formula>B4="UAT"</formula>
    </cfRule>
  </conditionalFormatting>
  <dataValidations>
    <dataValidation type="list" allowBlank="1" sqref="B4:B10">
      <formula1>"Unit,Integration,System,UAT"</formula1>
    </dataValidation>
    <dataValidation type="list" allowBlank="1" sqref="I4:I10">
      <formula1>"N/A,standard_user,locked_out_user,problem_user,performance_glitch_user,error_user,visual_user,Multiple Relevant Users,All Applicable Users,Representative User"</formula1>
    </dataValidation>
    <dataValidation type="list" allowBlank="1" sqref="L4:L10">
      <formula1>"No,Yes,Candidate"</formula1>
    </dataValidation>
    <dataValidation type="list" allowBlank="1" sqref="J4:J10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1018</v>
      </c>
    </row>
    <row r="2" ht="21.75" customHeight="1">
      <c r="A2" s="6" t="s">
        <v>1019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1020</v>
      </c>
      <c r="B4" s="12" t="s">
        <v>1</v>
      </c>
      <c r="C4" s="12" t="s">
        <v>65</v>
      </c>
      <c r="D4" s="12" t="s">
        <v>1021</v>
      </c>
      <c r="E4" s="12" t="s">
        <v>1022</v>
      </c>
      <c r="F4" s="12" t="s">
        <v>1023</v>
      </c>
      <c r="G4" s="12" t="s">
        <v>1024</v>
      </c>
      <c r="H4" s="12" t="s">
        <v>1025</v>
      </c>
      <c r="I4" s="12" t="s">
        <v>132</v>
      </c>
      <c r="J4" s="12" t="s">
        <v>1026</v>
      </c>
      <c r="K4" s="12"/>
      <c r="L4" s="12" t="s">
        <v>203</v>
      </c>
    </row>
    <row r="5">
      <c r="A5" s="12" t="s">
        <v>1027</v>
      </c>
      <c r="B5" s="12" t="s">
        <v>1</v>
      </c>
      <c r="C5" s="12" t="s">
        <v>65</v>
      </c>
      <c r="D5" s="12" t="s">
        <v>1028</v>
      </c>
      <c r="E5" s="12" t="s">
        <v>1022</v>
      </c>
      <c r="F5" s="12" t="s">
        <v>1023</v>
      </c>
      <c r="G5" s="12" t="s">
        <v>1024</v>
      </c>
      <c r="H5" s="12" t="s">
        <v>1029</v>
      </c>
      <c r="I5" s="12" t="s">
        <v>132</v>
      </c>
      <c r="J5" s="12" t="s">
        <v>1026</v>
      </c>
      <c r="K5" s="12"/>
      <c r="L5" s="12" t="s">
        <v>203</v>
      </c>
    </row>
    <row r="6">
      <c r="A6" s="12" t="s">
        <v>1030</v>
      </c>
      <c r="B6" s="12" t="s">
        <v>1</v>
      </c>
      <c r="C6" s="12" t="s">
        <v>65</v>
      </c>
      <c r="D6" s="12" t="s">
        <v>1031</v>
      </c>
      <c r="E6" s="12" t="s">
        <v>1022</v>
      </c>
      <c r="F6" s="12" t="s">
        <v>1023</v>
      </c>
      <c r="G6" s="12" t="s">
        <v>1024</v>
      </c>
      <c r="H6" s="12" t="s">
        <v>1032</v>
      </c>
      <c r="I6" s="12" t="s">
        <v>132</v>
      </c>
      <c r="J6" s="12" t="s">
        <v>1026</v>
      </c>
      <c r="K6" s="12"/>
      <c r="L6" s="12" t="s">
        <v>203</v>
      </c>
    </row>
    <row r="7">
      <c r="A7" s="12" t="s">
        <v>1033</v>
      </c>
      <c r="B7" s="12" t="s">
        <v>1</v>
      </c>
      <c r="C7" s="12" t="s">
        <v>65</v>
      </c>
      <c r="D7" s="12" t="s">
        <v>1034</v>
      </c>
      <c r="E7" s="12" t="s">
        <v>1022</v>
      </c>
      <c r="F7" s="12" t="s">
        <v>1023</v>
      </c>
      <c r="G7" s="12" t="s">
        <v>1024</v>
      </c>
      <c r="H7" s="12" t="s">
        <v>1035</v>
      </c>
      <c r="I7" s="12" t="s">
        <v>132</v>
      </c>
      <c r="J7" s="12" t="s">
        <v>1026</v>
      </c>
      <c r="K7" s="12"/>
      <c r="L7" s="12" t="s">
        <v>203</v>
      </c>
    </row>
    <row r="8">
      <c r="A8" s="12" t="s">
        <v>1036</v>
      </c>
      <c r="B8" s="12" t="s">
        <v>1</v>
      </c>
      <c r="C8" s="12" t="s">
        <v>65</v>
      </c>
      <c r="D8" s="12" t="s">
        <v>1037</v>
      </c>
      <c r="E8" s="12" t="s">
        <v>1022</v>
      </c>
      <c r="F8" s="12" t="s">
        <v>1023</v>
      </c>
      <c r="G8" s="12" t="s">
        <v>1024</v>
      </c>
      <c r="H8" s="12" t="s">
        <v>1038</v>
      </c>
      <c r="I8" s="12" t="s">
        <v>132</v>
      </c>
      <c r="J8" s="12" t="s">
        <v>1026</v>
      </c>
      <c r="K8" s="12"/>
      <c r="L8" s="12" t="s">
        <v>203</v>
      </c>
    </row>
    <row r="9">
      <c r="A9" s="12" t="s">
        <v>1039</v>
      </c>
      <c r="B9" s="12" t="s">
        <v>1</v>
      </c>
      <c r="C9" s="12" t="s">
        <v>65</v>
      </c>
      <c r="D9" s="12" t="s">
        <v>1040</v>
      </c>
      <c r="E9" s="12" t="s">
        <v>1022</v>
      </c>
      <c r="F9" s="12" t="s">
        <v>1023</v>
      </c>
      <c r="G9" s="12" t="s">
        <v>1024</v>
      </c>
      <c r="H9" s="12" t="s">
        <v>1041</v>
      </c>
      <c r="I9" s="12" t="s">
        <v>132</v>
      </c>
      <c r="J9" s="12" t="s">
        <v>1026</v>
      </c>
      <c r="K9" s="12"/>
      <c r="L9" s="12" t="s">
        <v>203</v>
      </c>
    </row>
    <row r="10">
      <c r="A10" s="12" t="s">
        <v>1042</v>
      </c>
      <c r="B10" s="12" t="s">
        <v>1</v>
      </c>
      <c r="C10" s="12" t="s">
        <v>65</v>
      </c>
      <c r="D10" s="12" t="s">
        <v>1043</v>
      </c>
      <c r="E10" s="12" t="s">
        <v>1022</v>
      </c>
      <c r="F10" s="12" t="s">
        <v>1023</v>
      </c>
      <c r="G10" s="12" t="s">
        <v>1024</v>
      </c>
      <c r="H10" s="12" t="s">
        <v>1044</v>
      </c>
      <c r="I10" s="12" t="s">
        <v>132</v>
      </c>
      <c r="J10" s="12" t="s">
        <v>1026</v>
      </c>
      <c r="K10" s="12"/>
      <c r="L10" s="12" t="s">
        <v>203</v>
      </c>
    </row>
    <row r="11">
      <c r="A11" s="12" t="s">
        <v>1045</v>
      </c>
      <c r="B11" s="12" t="s">
        <v>1</v>
      </c>
      <c r="C11" s="12" t="s">
        <v>65</v>
      </c>
      <c r="D11" s="12" t="s">
        <v>1046</v>
      </c>
      <c r="E11" s="12" t="s">
        <v>1022</v>
      </c>
      <c r="F11" s="12" t="s">
        <v>1023</v>
      </c>
      <c r="G11" s="12" t="s">
        <v>1024</v>
      </c>
      <c r="H11" s="12" t="s">
        <v>1047</v>
      </c>
      <c r="I11" s="12" t="s">
        <v>132</v>
      </c>
      <c r="J11" s="12" t="s">
        <v>1026</v>
      </c>
      <c r="K11" s="12"/>
      <c r="L11" s="12" t="s">
        <v>203</v>
      </c>
    </row>
    <row r="12">
      <c r="A12" s="12" t="s">
        <v>1048</v>
      </c>
      <c r="B12" s="12" t="s">
        <v>1</v>
      </c>
      <c r="C12" s="12" t="s">
        <v>65</v>
      </c>
      <c r="D12" s="12" t="s">
        <v>1049</v>
      </c>
      <c r="E12" s="12" t="s">
        <v>1022</v>
      </c>
      <c r="F12" s="12" t="s">
        <v>1023</v>
      </c>
      <c r="G12" s="12" t="s">
        <v>1024</v>
      </c>
      <c r="H12" s="12" t="s">
        <v>1050</v>
      </c>
      <c r="I12" s="12" t="s">
        <v>132</v>
      </c>
      <c r="J12" s="12" t="s">
        <v>1026</v>
      </c>
      <c r="K12" s="12"/>
      <c r="L12" s="12" t="s">
        <v>203</v>
      </c>
    </row>
    <row r="13">
      <c r="A13" s="12" t="s">
        <v>1051</v>
      </c>
      <c r="B13" s="12" t="s">
        <v>1</v>
      </c>
      <c r="C13" s="12" t="s">
        <v>65</v>
      </c>
      <c r="D13" s="12" t="s">
        <v>1052</v>
      </c>
      <c r="E13" s="12" t="s">
        <v>1022</v>
      </c>
      <c r="F13" s="12" t="s">
        <v>1023</v>
      </c>
      <c r="G13" s="12" t="s">
        <v>1024</v>
      </c>
      <c r="H13" s="12" t="s">
        <v>1053</v>
      </c>
      <c r="I13" s="12" t="s">
        <v>132</v>
      </c>
      <c r="J13" s="12" t="s">
        <v>1026</v>
      </c>
      <c r="K13" s="12"/>
      <c r="L13" s="12" t="s">
        <v>203</v>
      </c>
    </row>
    <row r="14">
      <c r="A14" s="12" t="s">
        <v>1054</v>
      </c>
      <c r="B14" s="12" t="s">
        <v>1</v>
      </c>
      <c r="C14" s="12" t="s">
        <v>65</v>
      </c>
      <c r="D14" s="12" t="s">
        <v>1055</v>
      </c>
      <c r="E14" s="12" t="s">
        <v>1022</v>
      </c>
      <c r="F14" s="12" t="s">
        <v>1023</v>
      </c>
      <c r="G14" s="12" t="s">
        <v>1024</v>
      </c>
      <c r="H14" s="12" t="s">
        <v>1056</v>
      </c>
      <c r="I14" s="12" t="s">
        <v>132</v>
      </c>
      <c r="J14" s="12" t="s">
        <v>1026</v>
      </c>
      <c r="K14" s="12"/>
      <c r="L14" s="12" t="s">
        <v>203</v>
      </c>
    </row>
    <row r="15">
      <c r="A15" s="12" t="s">
        <v>1057</v>
      </c>
      <c r="B15" s="12" t="s">
        <v>1</v>
      </c>
      <c r="C15" s="12" t="s">
        <v>65</v>
      </c>
      <c r="D15" s="12" t="s">
        <v>1058</v>
      </c>
      <c r="E15" s="12" t="s">
        <v>1022</v>
      </c>
      <c r="F15" s="12" t="s">
        <v>1023</v>
      </c>
      <c r="G15" s="12" t="s">
        <v>1024</v>
      </c>
      <c r="H15" s="12" t="s">
        <v>1059</v>
      </c>
      <c r="I15" s="12" t="s">
        <v>132</v>
      </c>
      <c r="J15" s="12" t="s">
        <v>1026</v>
      </c>
      <c r="K15" s="12"/>
      <c r="L15" s="12" t="s">
        <v>203</v>
      </c>
    </row>
    <row r="16">
      <c r="A16" s="12" t="s">
        <v>1060</v>
      </c>
      <c r="B16" s="12" t="s">
        <v>1</v>
      </c>
      <c r="C16" s="12" t="s">
        <v>65</v>
      </c>
      <c r="D16" s="12" t="s">
        <v>1061</v>
      </c>
      <c r="E16" s="12" t="s">
        <v>1022</v>
      </c>
      <c r="F16" s="12" t="s">
        <v>1023</v>
      </c>
      <c r="G16" s="12" t="s">
        <v>1024</v>
      </c>
      <c r="H16" s="12" t="s">
        <v>1062</v>
      </c>
      <c r="I16" s="12" t="s">
        <v>228</v>
      </c>
      <c r="J16" s="12" t="s">
        <v>1026</v>
      </c>
      <c r="K16" s="12"/>
      <c r="L16" s="12" t="s">
        <v>203</v>
      </c>
    </row>
    <row r="17">
      <c r="A17" s="12" t="s">
        <v>1063</v>
      </c>
      <c r="B17" s="12" t="s">
        <v>1</v>
      </c>
      <c r="C17" s="12" t="s">
        <v>65</v>
      </c>
      <c r="D17" s="12" t="s">
        <v>1064</v>
      </c>
      <c r="E17" s="12" t="s">
        <v>1022</v>
      </c>
      <c r="F17" s="12" t="s">
        <v>1023</v>
      </c>
      <c r="G17" s="12" t="s">
        <v>1024</v>
      </c>
      <c r="H17" s="12" t="s">
        <v>1065</v>
      </c>
      <c r="I17" s="12" t="s">
        <v>238</v>
      </c>
      <c r="J17" s="12" t="s">
        <v>1026</v>
      </c>
      <c r="K17" s="12"/>
      <c r="L17" s="12" t="s">
        <v>203</v>
      </c>
    </row>
    <row r="18">
      <c r="A18" s="12" t="s">
        <v>1066</v>
      </c>
      <c r="B18" s="12" t="s">
        <v>32</v>
      </c>
      <c r="C18" s="12" t="s">
        <v>65</v>
      </c>
      <c r="D18" s="12" t="s">
        <v>1067</v>
      </c>
      <c r="E18" s="12" t="s">
        <v>1068</v>
      </c>
      <c r="F18" s="12" t="s">
        <v>1069</v>
      </c>
      <c r="G18" s="12" t="s">
        <v>1070</v>
      </c>
      <c r="H18" s="12" t="s">
        <v>1071</v>
      </c>
      <c r="I18" s="12" t="s">
        <v>132</v>
      </c>
      <c r="J18" s="12" t="s">
        <v>1026</v>
      </c>
      <c r="K18" s="12"/>
      <c r="L18" s="12" t="s">
        <v>203</v>
      </c>
    </row>
    <row r="19">
      <c r="A19" s="12" t="s">
        <v>1072</v>
      </c>
      <c r="B19" s="12" t="s">
        <v>37</v>
      </c>
      <c r="C19" s="12" t="s">
        <v>65</v>
      </c>
      <c r="D19" s="12" t="s">
        <v>1073</v>
      </c>
      <c r="E19" s="12" t="s">
        <v>1074</v>
      </c>
      <c r="F19" s="12" t="s">
        <v>1075</v>
      </c>
      <c r="G19" s="12" t="s">
        <v>413</v>
      </c>
      <c r="H19" s="12" t="s">
        <v>1076</v>
      </c>
      <c r="I19" s="12" t="s">
        <v>302</v>
      </c>
      <c r="J19" s="12" t="s">
        <v>1026</v>
      </c>
      <c r="K19" s="12"/>
      <c r="L19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9">
    <cfRule type="expression" dxfId="0" priority="1">
      <formula>B4="Unit"</formula>
    </cfRule>
  </conditionalFormatting>
  <conditionalFormatting sqref="B4:B19">
    <cfRule type="expression" dxfId="1" priority="2">
      <formula>B4="Integration"</formula>
    </cfRule>
  </conditionalFormatting>
  <conditionalFormatting sqref="B4:B19">
    <cfRule type="expression" dxfId="2" priority="3">
      <formula>B4="System"</formula>
    </cfRule>
  </conditionalFormatting>
  <conditionalFormatting sqref="B4:B19">
    <cfRule type="expression" dxfId="3" priority="4">
      <formula>B4="UAT"</formula>
    </cfRule>
  </conditionalFormatting>
  <dataValidations>
    <dataValidation type="list" allowBlank="1" sqref="B4:B19">
      <formula1>"Unit,Integration,System,UAT"</formula1>
    </dataValidation>
    <dataValidation type="list" allowBlank="1" sqref="I4:I19">
      <formula1>"N/A,standard_user,locked_out_user,problem_user,performance_glitch_user,error_user,visual_user,Multiple Relevant Users,All Applicable Users,Representative User"</formula1>
    </dataValidation>
    <dataValidation type="list" allowBlank="1" sqref="L4:L19">
      <formula1>"No,Yes,Candidate"</formula1>
    </dataValidation>
    <dataValidation type="list" allowBlank="1" sqref="J4:J19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3.0"/>
    <col customWidth="1" min="4" max="4" width="44.0"/>
    <col customWidth="1" min="5" max="5" width="35.0"/>
    <col customWidth="1" min="6" max="6" width="32.0"/>
    <col customWidth="1" min="7" max="7" width="48.0"/>
    <col customWidth="1" min="8" max="8" width="52.0"/>
    <col customWidth="1" min="9" max="9" width="24.0"/>
    <col customWidth="1" min="10" max="10" width="27.0"/>
    <col customWidth="1" min="11" max="11" width="40.0"/>
    <col customWidth="1" min="12" max="12" width="18.0"/>
    <col customWidth="1" min="13" max="26" width="8.63"/>
  </cols>
  <sheetData>
    <row r="1" ht="27.75" customHeight="1">
      <c r="A1" s="10" t="s">
        <v>1077</v>
      </c>
    </row>
    <row r="2" ht="21.75" customHeight="1">
      <c r="A2" s="6" t="s">
        <v>1078</v>
      </c>
    </row>
    <row r="3" ht="36.0" customHeight="1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1" t="s">
        <v>109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115</v>
      </c>
    </row>
    <row r="4">
      <c r="A4" s="12" t="s">
        <v>1079</v>
      </c>
      <c r="B4" s="12" t="s">
        <v>1</v>
      </c>
      <c r="C4" s="12" t="s">
        <v>67</v>
      </c>
      <c r="D4" s="12" t="s">
        <v>1080</v>
      </c>
      <c r="E4" s="12" t="s">
        <v>1081</v>
      </c>
      <c r="F4" s="12" t="s">
        <v>132</v>
      </c>
      <c r="G4" s="12" t="s">
        <v>1082</v>
      </c>
      <c r="H4" s="12" t="s">
        <v>1083</v>
      </c>
      <c r="I4" s="12" t="s">
        <v>132</v>
      </c>
      <c r="J4" s="12" t="s">
        <v>180</v>
      </c>
      <c r="K4" s="12"/>
      <c r="L4" s="12" t="s">
        <v>203</v>
      </c>
    </row>
    <row r="5">
      <c r="A5" s="12" t="s">
        <v>1084</v>
      </c>
      <c r="B5" s="12" t="s">
        <v>1</v>
      </c>
      <c r="C5" s="12" t="s">
        <v>67</v>
      </c>
      <c r="D5" s="12" t="s">
        <v>1085</v>
      </c>
      <c r="E5" s="12" t="s">
        <v>1081</v>
      </c>
      <c r="F5" s="12" t="s">
        <v>132</v>
      </c>
      <c r="G5" s="12" t="s">
        <v>1086</v>
      </c>
      <c r="H5" s="12" t="s">
        <v>1087</v>
      </c>
      <c r="I5" s="12" t="s">
        <v>132</v>
      </c>
      <c r="J5" s="12" t="s">
        <v>180</v>
      </c>
      <c r="K5" s="12"/>
      <c r="L5" s="12" t="s">
        <v>203</v>
      </c>
    </row>
    <row r="6">
      <c r="A6" s="12" t="s">
        <v>1088</v>
      </c>
      <c r="B6" s="12" t="s">
        <v>1</v>
      </c>
      <c r="C6" s="12" t="s">
        <v>67</v>
      </c>
      <c r="D6" s="12" t="s">
        <v>1089</v>
      </c>
      <c r="E6" s="12" t="s">
        <v>1081</v>
      </c>
      <c r="F6" s="12" t="s">
        <v>132</v>
      </c>
      <c r="G6" s="12" t="s">
        <v>1090</v>
      </c>
      <c r="H6" s="12" t="s">
        <v>1091</v>
      </c>
      <c r="I6" s="12" t="s">
        <v>132</v>
      </c>
      <c r="J6" s="12" t="s">
        <v>122</v>
      </c>
      <c r="K6" s="12"/>
      <c r="L6" s="12" t="s">
        <v>203</v>
      </c>
    </row>
    <row r="7">
      <c r="A7" s="12" t="s">
        <v>1092</v>
      </c>
      <c r="B7" s="12" t="s">
        <v>1</v>
      </c>
      <c r="C7" s="12" t="s">
        <v>67</v>
      </c>
      <c r="D7" s="12" t="s">
        <v>1093</v>
      </c>
      <c r="E7" s="12" t="s">
        <v>1081</v>
      </c>
      <c r="F7" s="12" t="s">
        <v>132</v>
      </c>
      <c r="G7" s="12" t="s">
        <v>1094</v>
      </c>
      <c r="H7" s="12" t="s">
        <v>1095</v>
      </c>
      <c r="I7" s="12" t="s">
        <v>132</v>
      </c>
      <c r="J7" s="12" t="s">
        <v>122</v>
      </c>
      <c r="K7" s="12"/>
      <c r="L7" s="12" t="s">
        <v>203</v>
      </c>
    </row>
    <row r="8">
      <c r="A8" s="12" t="s">
        <v>1096</v>
      </c>
      <c r="B8" s="12" t="s">
        <v>1</v>
      </c>
      <c r="C8" s="12" t="s">
        <v>67</v>
      </c>
      <c r="D8" s="12" t="s">
        <v>1097</v>
      </c>
      <c r="E8" s="12" t="s">
        <v>1081</v>
      </c>
      <c r="F8" s="12" t="s">
        <v>132</v>
      </c>
      <c r="G8" s="12" t="s">
        <v>1098</v>
      </c>
      <c r="H8" s="12" t="s">
        <v>1099</v>
      </c>
      <c r="I8" s="12" t="s">
        <v>132</v>
      </c>
      <c r="J8" s="12" t="s">
        <v>122</v>
      </c>
      <c r="K8" s="12"/>
      <c r="L8" s="12" t="s">
        <v>203</v>
      </c>
    </row>
    <row r="9">
      <c r="A9" s="12" t="s">
        <v>1100</v>
      </c>
      <c r="B9" s="12" t="s">
        <v>1</v>
      </c>
      <c r="C9" s="12" t="s">
        <v>67</v>
      </c>
      <c r="D9" s="12" t="s">
        <v>1101</v>
      </c>
      <c r="E9" s="12" t="s">
        <v>1081</v>
      </c>
      <c r="F9" s="12" t="s">
        <v>132</v>
      </c>
      <c r="G9" s="12" t="s">
        <v>1102</v>
      </c>
      <c r="H9" s="12" t="s">
        <v>1103</v>
      </c>
      <c r="I9" s="12" t="s">
        <v>132</v>
      </c>
      <c r="J9" s="12" t="s">
        <v>122</v>
      </c>
      <c r="K9" s="12"/>
      <c r="L9" s="12" t="s">
        <v>203</v>
      </c>
    </row>
    <row r="10">
      <c r="A10" s="12" t="s">
        <v>1104</v>
      </c>
      <c r="B10" s="12" t="s">
        <v>1</v>
      </c>
      <c r="C10" s="12" t="s">
        <v>67</v>
      </c>
      <c r="D10" s="12" t="s">
        <v>1105</v>
      </c>
      <c r="E10" s="12" t="s">
        <v>1081</v>
      </c>
      <c r="F10" s="12" t="s">
        <v>132</v>
      </c>
      <c r="G10" s="12" t="s">
        <v>1106</v>
      </c>
      <c r="H10" s="12" t="s">
        <v>1107</v>
      </c>
      <c r="I10" s="12" t="s">
        <v>132</v>
      </c>
      <c r="J10" s="12" t="s">
        <v>122</v>
      </c>
      <c r="K10" s="12"/>
      <c r="L10" s="12" t="s">
        <v>203</v>
      </c>
    </row>
    <row r="11">
      <c r="A11" s="12" t="s">
        <v>1108</v>
      </c>
      <c r="B11" s="12" t="s">
        <v>34</v>
      </c>
      <c r="C11" s="12" t="s">
        <v>67</v>
      </c>
      <c r="D11" s="12" t="s">
        <v>1109</v>
      </c>
      <c r="E11" s="12" t="s">
        <v>1110</v>
      </c>
      <c r="F11" s="12" t="s">
        <v>1111</v>
      </c>
      <c r="G11" s="12" t="s">
        <v>1112</v>
      </c>
      <c r="H11" s="12" t="s">
        <v>1113</v>
      </c>
      <c r="I11" s="12" t="s">
        <v>132</v>
      </c>
      <c r="J11" s="12" t="s">
        <v>122</v>
      </c>
      <c r="K11" s="12"/>
      <c r="L11" s="12" t="s">
        <v>203</v>
      </c>
    </row>
    <row r="12">
      <c r="A12" s="12" t="s">
        <v>1114</v>
      </c>
      <c r="B12" s="12" t="s">
        <v>34</v>
      </c>
      <c r="C12" s="12" t="s">
        <v>67</v>
      </c>
      <c r="D12" s="12" t="s">
        <v>1115</v>
      </c>
      <c r="E12" s="12" t="s">
        <v>1116</v>
      </c>
      <c r="F12" s="12" t="s">
        <v>1117</v>
      </c>
      <c r="G12" s="12" t="s">
        <v>1118</v>
      </c>
      <c r="H12" s="12" t="s">
        <v>1119</v>
      </c>
      <c r="I12" s="12" t="s">
        <v>132</v>
      </c>
      <c r="J12" s="12" t="s">
        <v>122</v>
      </c>
      <c r="K12" s="12"/>
      <c r="L12" s="12" t="s">
        <v>203</v>
      </c>
    </row>
    <row r="13">
      <c r="A13" s="12" t="s">
        <v>1120</v>
      </c>
      <c r="B13" s="12" t="s">
        <v>34</v>
      </c>
      <c r="C13" s="12" t="s">
        <v>67</v>
      </c>
      <c r="D13" s="12" t="s">
        <v>1121</v>
      </c>
      <c r="E13" s="12" t="s">
        <v>1122</v>
      </c>
      <c r="F13" s="12" t="s">
        <v>600</v>
      </c>
      <c r="G13" s="12" t="s">
        <v>613</v>
      </c>
      <c r="H13" s="12" t="s">
        <v>1123</v>
      </c>
      <c r="I13" s="12" t="s">
        <v>132</v>
      </c>
      <c r="J13" s="12" t="s">
        <v>122</v>
      </c>
      <c r="K13" s="12"/>
      <c r="L13" s="12" t="s">
        <v>203</v>
      </c>
    </row>
    <row r="14">
      <c r="A14" s="12" t="s">
        <v>1124</v>
      </c>
      <c r="B14" s="12" t="s">
        <v>34</v>
      </c>
      <c r="C14" s="12" t="s">
        <v>67</v>
      </c>
      <c r="D14" s="12" t="s">
        <v>1125</v>
      </c>
      <c r="E14" s="12" t="s">
        <v>1126</v>
      </c>
      <c r="F14" s="12" t="s">
        <v>1127</v>
      </c>
      <c r="G14" s="12" t="s">
        <v>1128</v>
      </c>
      <c r="H14" s="12" t="s">
        <v>1129</v>
      </c>
      <c r="I14" s="12" t="s">
        <v>132</v>
      </c>
      <c r="J14" s="12" t="s">
        <v>122</v>
      </c>
      <c r="K14" s="12"/>
      <c r="L14" s="12" t="s">
        <v>203</v>
      </c>
    </row>
    <row r="15">
      <c r="A15" s="12" t="s">
        <v>1130</v>
      </c>
      <c r="B15" s="12" t="s">
        <v>34</v>
      </c>
      <c r="C15" s="12" t="s">
        <v>67</v>
      </c>
      <c r="D15" s="12" t="s">
        <v>1131</v>
      </c>
      <c r="E15" s="12" t="s">
        <v>1132</v>
      </c>
      <c r="F15" s="12" t="s">
        <v>1133</v>
      </c>
      <c r="G15" s="12" t="s">
        <v>1134</v>
      </c>
      <c r="H15" s="12" t="s">
        <v>830</v>
      </c>
      <c r="I15" s="12" t="s">
        <v>132</v>
      </c>
      <c r="J15" s="12" t="s">
        <v>122</v>
      </c>
      <c r="K15" s="12"/>
      <c r="L15" s="12" t="s">
        <v>203</v>
      </c>
    </row>
    <row r="16">
      <c r="A16" s="12" t="s">
        <v>1135</v>
      </c>
      <c r="B16" s="12" t="s">
        <v>34</v>
      </c>
      <c r="C16" s="12" t="s">
        <v>67</v>
      </c>
      <c r="D16" s="12" t="s">
        <v>1136</v>
      </c>
      <c r="E16" s="12" t="s">
        <v>1137</v>
      </c>
      <c r="F16" s="12" t="s">
        <v>312</v>
      </c>
      <c r="G16" s="12" t="s">
        <v>1138</v>
      </c>
      <c r="H16" s="12" t="s">
        <v>1139</v>
      </c>
      <c r="I16" s="12" t="s">
        <v>132</v>
      </c>
      <c r="J16" s="12" t="s">
        <v>122</v>
      </c>
      <c r="K16" s="12"/>
      <c r="L16" s="12" t="s">
        <v>203</v>
      </c>
    </row>
    <row r="17">
      <c r="A17" s="12" t="s">
        <v>1140</v>
      </c>
      <c r="B17" s="12" t="s">
        <v>37</v>
      </c>
      <c r="C17" s="12" t="s">
        <v>67</v>
      </c>
      <c r="D17" s="12" t="s">
        <v>1141</v>
      </c>
      <c r="E17" s="12" t="s">
        <v>1142</v>
      </c>
      <c r="F17" s="12" t="s">
        <v>1143</v>
      </c>
      <c r="G17" s="12" t="s">
        <v>1144</v>
      </c>
      <c r="H17" s="12" t="s">
        <v>1145</v>
      </c>
      <c r="I17" s="12" t="s">
        <v>302</v>
      </c>
      <c r="J17" s="12" t="s">
        <v>122</v>
      </c>
      <c r="K17" s="12"/>
      <c r="L17" s="12" t="s">
        <v>303</v>
      </c>
    </row>
    <row r="18">
      <c r="A18" s="12" t="s">
        <v>1146</v>
      </c>
      <c r="B18" s="12" t="s">
        <v>37</v>
      </c>
      <c r="C18" s="12" t="s">
        <v>67</v>
      </c>
      <c r="D18" s="12" t="s">
        <v>1147</v>
      </c>
      <c r="E18" s="12" t="s">
        <v>1142</v>
      </c>
      <c r="F18" s="12" t="s">
        <v>1148</v>
      </c>
      <c r="G18" s="12" t="s">
        <v>1144</v>
      </c>
      <c r="H18" s="12" t="s">
        <v>1149</v>
      </c>
      <c r="I18" s="12" t="s">
        <v>302</v>
      </c>
      <c r="J18" s="12" t="s">
        <v>122</v>
      </c>
      <c r="K18" s="12"/>
      <c r="L18" s="12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B4:B18">
    <cfRule type="expression" dxfId="0" priority="1">
      <formula>B4="Unit"</formula>
    </cfRule>
  </conditionalFormatting>
  <conditionalFormatting sqref="B4:B18">
    <cfRule type="expression" dxfId="1" priority="2">
      <formula>B4="Integration"</formula>
    </cfRule>
  </conditionalFormatting>
  <conditionalFormatting sqref="B4:B18">
    <cfRule type="expression" dxfId="2" priority="3">
      <formula>B4="System"</formula>
    </cfRule>
  </conditionalFormatting>
  <conditionalFormatting sqref="B4:B18">
    <cfRule type="expression" dxfId="3" priority="4">
      <formula>B4="UAT"</formula>
    </cfRule>
  </conditionalFormatting>
  <dataValidations>
    <dataValidation type="list" allowBlank="1" sqref="B4:B18">
      <formula1>"Unit,Integration,System,UAT"</formula1>
    </dataValidation>
    <dataValidation type="list" allowBlank="1" sqref="I4:I18">
      <formula1>"N/A,standard_user,locked_out_user,problem_user,performance_glitch_user,error_user,visual_user,Multiple Relevant Users,All Applicable Users,Representative User"</formula1>
    </dataValidation>
    <dataValidation type="list" allowBlank="1" sqref="L4:L18">
      <formula1>"No,Yes,Candidate"</formula1>
    </dataValidation>
    <dataValidation type="list" allowBlank="1" sqref="J4:J18">
      <formula1>"N/A,Primary Browser,All Supported Browsers,Representative Cross-Browser,Browser-Specific"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4" width="24.0"/>
    <col customWidth="1" min="5" max="5" width="16.0"/>
    <col customWidth="1" min="6" max="6" width="50.0"/>
    <col customWidth="1" min="7" max="7" width="16.0"/>
    <col customWidth="1" min="8" max="8" width="18.0"/>
    <col customWidth="1" min="9" max="9" width="20.0"/>
    <col customWidth="1" min="10" max="10" width="18.0"/>
    <col customWidth="1" min="11" max="11" width="38.0"/>
    <col customWidth="1" min="12" max="26" width="8.63"/>
  </cols>
  <sheetData>
    <row r="1">
      <c r="A1" s="10" t="s">
        <v>1150</v>
      </c>
    </row>
    <row r="2">
      <c r="A2" s="6" t="s">
        <v>1151</v>
      </c>
    </row>
    <row r="4">
      <c r="A4" s="11" t="s">
        <v>1152</v>
      </c>
      <c r="B4" s="11" t="s">
        <v>104</v>
      </c>
      <c r="C4" s="11" t="s">
        <v>106</v>
      </c>
      <c r="D4" s="11" t="s">
        <v>1153</v>
      </c>
      <c r="E4" s="11" t="s">
        <v>1154</v>
      </c>
      <c r="F4" s="11" t="s">
        <v>1155</v>
      </c>
      <c r="G4" s="11" t="s">
        <v>1156</v>
      </c>
      <c r="H4" s="11" t="s">
        <v>1157</v>
      </c>
      <c r="I4" s="11" t="s">
        <v>1158</v>
      </c>
      <c r="J4" s="11" t="s">
        <v>1159</v>
      </c>
      <c r="K4" s="11" t="s">
        <v>114</v>
      </c>
    </row>
    <row r="5">
      <c r="A5" s="12" t="str">
        <f t="shared" ref="A5:A1004" si="1">IF(B5="","","EXE-"&amp;TEXT(ROW()-4,"0000"))</f>
        <v/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>
      <c r="A6" s="12" t="str">
        <f t="shared" si="1"/>
        <v/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>
      <c r="A7" s="12" t="str">
        <f t="shared" si="1"/>
        <v/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>
      <c r="A8" s="12" t="str">
        <f t="shared" si="1"/>
        <v/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>
      <c r="A9" s="12" t="str">
        <f t="shared" si="1"/>
        <v/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>
      <c r="A10" s="12" t="str">
        <f t="shared" si="1"/>
        <v/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>
      <c r="A11" s="12" t="str">
        <f t="shared" si="1"/>
        <v/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A12" s="12" t="str">
        <f t="shared" si="1"/>
        <v/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>
      <c r="A13" s="12" t="str">
        <f t="shared" si="1"/>
        <v/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A14" s="12" t="str">
        <f t="shared" si="1"/>
        <v/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2" t="str">
        <f t="shared" si="1"/>
        <v/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2" t="str">
        <f t="shared" si="1"/>
        <v/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2" t="str">
        <f t="shared" si="1"/>
        <v/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12" t="str">
        <f t="shared" si="1"/>
        <v/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>
      <c r="A19" s="12" t="str">
        <f t="shared" si="1"/>
        <v/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>
      <c r="A20" s="12" t="str">
        <f t="shared" si="1"/>
        <v/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ht="15.75" customHeight="1">
      <c r="A21" s="12" t="str">
        <f t="shared" si="1"/>
        <v/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ht="15.75" customHeight="1">
      <c r="A22" s="12" t="str">
        <f t="shared" si="1"/>
        <v/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ht="15.75" customHeight="1">
      <c r="A23" s="12" t="str">
        <f t="shared" si="1"/>
        <v/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ht="15.75" customHeight="1">
      <c r="A24" s="12" t="str">
        <f t="shared" si="1"/>
        <v/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ht="15.75" customHeight="1">
      <c r="A25" s="12" t="str">
        <f t="shared" si="1"/>
        <v/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ht="15.75" customHeight="1">
      <c r="A26" s="12" t="str">
        <f t="shared" si="1"/>
        <v/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ht="15.75" customHeight="1">
      <c r="A27" s="12" t="str">
        <f t="shared" si="1"/>
        <v/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ht="15.75" customHeight="1">
      <c r="A28" s="12" t="str">
        <f t="shared" si="1"/>
        <v/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ht="15.75" customHeight="1">
      <c r="A29" s="12" t="str">
        <f t="shared" si="1"/>
        <v/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ht="15.75" customHeight="1">
      <c r="A30" s="12" t="str">
        <f t="shared" si="1"/>
        <v/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ht="15.75" customHeight="1">
      <c r="A31" s="12" t="str">
        <f t="shared" si="1"/>
        <v/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ht="15.75" customHeight="1">
      <c r="A32" s="12" t="str">
        <f t="shared" si="1"/>
        <v/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ht="15.75" customHeight="1">
      <c r="A33" s="12" t="str">
        <f t="shared" si="1"/>
        <v/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ht="15.75" customHeight="1">
      <c r="A34" s="12" t="str">
        <f t="shared" si="1"/>
        <v/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ht="15.75" customHeight="1">
      <c r="A35" s="12" t="str">
        <f t="shared" si="1"/>
        <v/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ht="15.75" customHeight="1">
      <c r="A36" s="12" t="str">
        <f t="shared" si="1"/>
        <v/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ht="15.75" customHeight="1">
      <c r="A37" s="12" t="str">
        <f t="shared" si="1"/>
        <v/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ht="15.75" customHeight="1">
      <c r="A38" s="12" t="str">
        <f t="shared" si="1"/>
        <v/>
      </c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ht="15.75" customHeight="1">
      <c r="A39" s="12" t="str">
        <f t="shared" si="1"/>
        <v/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ht="15.75" customHeight="1">
      <c r="A40" s="12" t="str">
        <f t="shared" si="1"/>
        <v/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ht="15.75" customHeight="1">
      <c r="A41" s="12" t="str">
        <f t="shared" si="1"/>
        <v/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ht="15.75" customHeight="1">
      <c r="A42" s="12" t="str">
        <f t="shared" si="1"/>
        <v/>
      </c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ht="15.75" customHeight="1">
      <c r="A43" s="12" t="str">
        <f t="shared" si="1"/>
        <v/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ht="15.75" customHeight="1">
      <c r="A44" s="12" t="str">
        <f t="shared" si="1"/>
        <v/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ht="15.75" customHeight="1">
      <c r="A45" s="12" t="str">
        <f t="shared" si="1"/>
        <v/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ht="15.75" customHeight="1">
      <c r="A46" s="12" t="str">
        <f t="shared" si="1"/>
        <v/>
      </c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ht="15.75" customHeight="1">
      <c r="A47" s="12" t="str">
        <f t="shared" si="1"/>
        <v/>
      </c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ht="15.75" customHeight="1">
      <c r="A48" s="12" t="str">
        <f t="shared" si="1"/>
        <v/>
      </c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ht="15.75" customHeight="1">
      <c r="A49" s="12" t="str">
        <f t="shared" si="1"/>
        <v/>
      </c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ht="15.75" customHeight="1">
      <c r="A50" s="12" t="str">
        <f t="shared" si="1"/>
        <v/>
      </c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ht="15.75" customHeight="1">
      <c r="A51" s="12" t="str">
        <f t="shared" si="1"/>
        <v/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ht="15.75" customHeight="1">
      <c r="A52" s="12" t="str">
        <f t="shared" si="1"/>
        <v/>
      </c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ht="15.75" customHeight="1">
      <c r="A53" s="12" t="str">
        <f t="shared" si="1"/>
        <v/>
      </c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ht="15.75" customHeight="1">
      <c r="A54" s="12" t="str">
        <f t="shared" si="1"/>
        <v/>
      </c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ht="15.75" customHeight="1">
      <c r="A55" s="12" t="str">
        <f t="shared" si="1"/>
        <v/>
      </c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ht="15.75" customHeight="1">
      <c r="A56" s="12" t="str">
        <f t="shared" si="1"/>
        <v/>
      </c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ht="15.75" customHeight="1">
      <c r="A57" s="12" t="str">
        <f t="shared" si="1"/>
        <v/>
      </c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5.75" customHeight="1">
      <c r="A58" s="12" t="str">
        <f t="shared" si="1"/>
        <v/>
      </c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ht="15.75" customHeight="1">
      <c r="A59" s="12" t="str">
        <f t="shared" si="1"/>
        <v/>
      </c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ht="15.75" customHeight="1">
      <c r="A60" s="12" t="str">
        <f t="shared" si="1"/>
        <v/>
      </c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ht="15.75" customHeight="1">
      <c r="A61" s="12" t="str">
        <f t="shared" si="1"/>
        <v/>
      </c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ht="15.75" customHeight="1">
      <c r="A62" s="12" t="str">
        <f t="shared" si="1"/>
        <v/>
      </c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ht="15.75" customHeight="1">
      <c r="A63" s="12" t="str">
        <f t="shared" si="1"/>
        <v/>
      </c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ht="15.75" customHeight="1">
      <c r="A64" s="12" t="str">
        <f t="shared" si="1"/>
        <v/>
      </c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ht="15.75" customHeight="1">
      <c r="A65" s="12" t="str">
        <f t="shared" si="1"/>
        <v/>
      </c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ht="15.75" customHeight="1">
      <c r="A66" s="12" t="str">
        <f t="shared" si="1"/>
        <v/>
      </c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ht="15.75" customHeight="1">
      <c r="A67" s="12" t="str">
        <f t="shared" si="1"/>
        <v/>
      </c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5.75" customHeight="1">
      <c r="A68" s="12" t="str">
        <f t="shared" si="1"/>
        <v/>
      </c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ht="15.75" customHeight="1">
      <c r="A69" s="12" t="str">
        <f t="shared" si="1"/>
        <v/>
      </c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ht="15.75" customHeight="1">
      <c r="A70" s="12" t="str">
        <f t="shared" si="1"/>
        <v/>
      </c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ht="15.75" customHeight="1">
      <c r="A71" s="12" t="str">
        <f t="shared" si="1"/>
        <v/>
      </c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ht="15.75" customHeight="1">
      <c r="A72" s="12" t="str">
        <f t="shared" si="1"/>
        <v/>
      </c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ht="15.75" customHeight="1">
      <c r="A73" s="12" t="str">
        <f t="shared" si="1"/>
        <v/>
      </c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ht="15.75" customHeight="1">
      <c r="A74" s="12" t="str">
        <f t="shared" si="1"/>
        <v/>
      </c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ht="15.75" customHeight="1">
      <c r="A75" s="12" t="str">
        <f t="shared" si="1"/>
        <v/>
      </c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ht="15.75" customHeight="1">
      <c r="A76" s="12" t="str">
        <f t="shared" si="1"/>
        <v/>
      </c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ht="15.75" customHeight="1">
      <c r="A77" s="12" t="str">
        <f t="shared" si="1"/>
        <v/>
      </c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ht="15.75" customHeight="1">
      <c r="A78" s="12" t="str">
        <f t="shared" si="1"/>
        <v/>
      </c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ht="15.75" customHeight="1">
      <c r="A79" s="12" t="str">
        <f t="shared" si="1"/>
        <v/>
      </c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ht="15.75" customHeight="1">
      <c r="A80" s="12" t="str">
        <f t="shared" si="1"/>
        <v/>
      </c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ht="15.75" customHeight="1">
      <c r="A81" s="12" t="str">
        <f t="shared" si="1"/>
        <v/>
      </c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ht="15.75" customHeight="1">
      <c r="A82" s="12" t="str">
        <f t="shared" si="1"/>
        <v/>
      </c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ht="15.75" customHeight="1">
      <c r="A83" s="12" t="str">
        <f t="shared" si="1"/>
        <v/>
      </c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ht="15.75" customHeight="1">
      <c r="A84" s="12" t="str">
        <f t="shared" si="1"/>
        <v/>
      </c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ht="15.75" customHeight="1">
      <c r="A85" s="12" t="str">
        <f t="shared" si="1"/>
        <v/>
      </c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ht="15.75" customHeight="1">
      <c r="A86" s="12" t="str">
        <f t="shared" si="1"/>
        <v/>
      </c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ht="15.75" customHeight="1">
      <c r="A87" s="12" t="str">
        <f t="shared" si="1"/>
        <v/>
      </c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ht="15.75" customHeight="1">
      <c r="A88" s="12" t="str">
        <f t="shared" si="1"/>
        <v/>
      </c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ht="15.75" customHeight="1">
      <c r="A89" s="12" t="str">
        <f t="shared" si="1"/>
        <v/>
      </c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ht="15.75" customHeight="1">
      <c r="A90" s="12" t="str">
        <f t="shared" si="1"/>
        <v/>
      </c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ht="15.75" customHeight="1">
      <c r="A91" s="12" t="str">
        <f t="shared" si="1"/>
        <v/>
      </c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ht="15.75" customHeight="1">
      <c r="A92" s="12" t="str">
        <f t="shared" si="1"/>
        <v/>
      </c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ht="15.75" customHeight="1">
      <c r="A93" s="12" t="str">
        <f t="shared" si="1"/>
        <v/>
      </c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ht="15.75" customHeight="1">
      <c r="A94" s="12" t="str">
        <f t="shared" si="1"/>
        <v/>
      </c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ht="15.75" customHeight="1">
      <c r="A95" s="12" t="str">
        <f t="shared" si="1"/>
        <v/>
      </c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ht="15.75" customHeight="1">
      <c r="A96" s="12" t="str">
        <f t="shared" si="1"/>
        <v/>
      </c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ht="15.75" customHeight="1">
      <c r="A97" s="12" t="str">
        <f t="shared" si="1"/>
        <v/>
      </c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ht="15.75" customHeight="1">
      <c r="A98" s="12" t="str">
        <f t="shared" si="1"/>
        <v/>
      </c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ht="15.75" customHeight="1">
      <c r="A99" s="12" t="str">
        <f t="shared" si="1"/>
        <v/>
      </c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ht="15.75" customHeight="1">
      <c r="A100" s="12" t="str">
        <f t="shared" si="1"/>
        <v/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ht="15.75" customHeight="1">
      <c r="A101" s="12" t="str">
        <f t="shared" si="1"/>
        <v/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ht="15.75" customHeight="1">
      <c r="A102" s="12" t="str">
        <f t="shared" si="1"/>
        <v/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ht="15.75" customHeight="1">
      <c r="A103" s="12" t="str">
        <f t="shared" si="1"/>
        <v/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ht="15.75" customHeight="1">
      <c r="A104" s="12" t="str">
        <f t="shared" si="1"/>
        <v/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ht="15.75" customHeight="1">
      <c r="A105" s="12" t="str">
        <f t="shared" si="1"/>
        <v/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ht="15.75" customHeight="1">
      <c r="A106" s="12" t="str">
        <f t="shared" si="1"/>
        <v/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ht="15.75" customHeight="1">
      <c r="A107" s="12" t="str">
        <f t="shared" si="1"/>
        <v/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ht="15.75" customHeight="1">
      <c r="A108" s="12" t="str">
        <f t="shared" si="1"/>
        <v/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ht="15.75" customHeight="1">
      <c r="A109" s="12" t="str">
        <f t="shared" si="1"/>
        <v/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ht="15.75" customHeight="1">
      <c r="A110" s="12" t="str">
        <f t="shared" si="1"/>
        <v/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ht="15.75" customHeight="1">
      <c r="A111" s="12" t="str">
        <f t="shared" si="1"/>
        <v/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ht="15.75" customHeight="1">
      <c r="A112" s="12" t="str">
        <f t="shared" si="1"/>
        <v/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ht="15.75" customHeight="1">
      <c r="A113" s="12" t="str">
        <f t="shared" si="1"/>
        <v/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ht="15.75" customHeight="1">
      <c r="A114" s="12" t="str">
        <f t="shared" si="1"/>
        <v/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ht="15.75" customHeight="1">
      <c r="A115" s="12" t="str">
        <f t="shared" si="1"/>
        <v/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ht="15.75" customHeight="1">
      <c r="A116" s="12" t="str">
        <f t="shared" si="1"/>
        <v/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ht="15.75" customHeight="1">
      <c r="A117" s="12" t="str">
        <f t="shared" si="1"/>
        <v/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ht="15.75" customHeight="1">
      <c r="A118" s="12" t="str">
        <f t="shared" si="1"/>
        <v/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ht="15.75" customHeight="1">
      <c r="A119" s="12" t="str">
        <f t="shared" si="1"/>
        <v/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ht="15.75" customHeight="1">
      <c r="A120" s="12" t="str">
        <f t="shared" si="1"/>
        <v/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ht="15.75" customHeight="1">
      <c r="A121" s="12" t="str">
        <f t="shared" si="1"/>
        <v/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ht="15.75" customHeight="1">
      <c r="A122" s="12" t="str">
        <f t="shared" si="1"/>
        <v/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ht="15.75" customHeight="1">
      <c r="A123" s="12" t="str">
        <f t="shared" si="1"/>
        <v/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 ht="15.75" customHeight="1">
      <c r="A124" s="12" t="str">
        <f t="shared" si="1"/>
        <v/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 ht="15.75" customHeight="1">
      <c r="A125" s="12" t="str">
        <f t="shared" si="1"/>
        <v/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ht="15.75" customHeight="1">
      <c r="A126" s="12" t="str">
        <f t="shared" si="1"/>
        <v/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ht="15.75" customHeight="1">
      <c r="A127" s="12" t="str">
        <f t="shared" si="1"/>
        <v/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 ht="15.75" customHeight="1">
      <c r="A128" s="12" t="str">
        <f t="shared" si="1"/>
        <v/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ht="15.75" customHeight="1">
      <c r="A129" s="12" t="str">
        <f t="shared" si="1"/>
        <v/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 ht="15.75" customHeight="1">
      <c r="A130" s="12" t="str">
        <f t="shared" si="1"/>
        <v/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 ht="15.75" customHeight="1">
      <c r="A131" s="12" t="str">
        <f t="shared" si="1"/>
        <v/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ht="15.75" customHeight="1">
      <c r="A132" s="12" t="str">
        <f t="shared" si="1"/>
        <v/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ht="15.75" customHeight="1">
      <c r="A133" s="12" t="str">
        <f t="shared" si="1"/>
        <v/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 ht="15.75" customHeight="1">
      <c r="A134" s="12" t="str">
        <f t="shared" si="1"/>
        <v/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ht="15.75" customHeight="1">
      <c r="A135" s="12" t="str">
        <f t="shared" si="1"/>
        <v/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ht="15.75" customHeight="1">
      <c r="A136" s="12" t="str">
        <f t="shared" si="1"/>
        <v/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ht="15.75" customHeight="1">
      <c r="A137" s="12" t="str">
        <f t="shared" si="1"/>
        <v/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ht="15.75" customHeight="1">
      <c r="A138" s="12" t="str">
        <f t="shared" si="1"/>
        <v/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ht="15.75" customHeight="1">
      <c r="A139" s="12" t="str">
        <f t="shared" si="1"/>
        <v/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ht="15.75" customHeight="1">
      <c r="A140" s="12" t="str">
        <f t="shared" si="1"/>
        <v/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 ht="15.75" customHeight="1">
      <c r="A141" s="12" t="str">
        <f t="shared" si="1"/>
        <v/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ht="15.75" customHeight="1">
      <c r="A142" s="12" t="str">
        <f t="shared" si="1"/>
        <v/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 ht="15.75" customHeight="1">
      <c r="A143" s="12" t="str">
        <f t="shared" si="1"/>
        <v/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 ht="15.75" customHeight="1">
      <c r="A144" s="12" t="str">
        <f t="shared" si="1"/>
        <v/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ht="15.75" customHeight="1">
      <c r="A145" s="12" t="str">
        <f t="shared" si="1"/>
        <v/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 ht="15.75" customHeight="1">
      <c r="A146" s="12" t="str">
        <f t="shared" si="1"/>
        <v/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 ht="15.75" customHeight="1">
      <c r="A147" s="12" t="str">
        <f t="shared" si="1"/>
        <v/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ht="15.75" customHeight="1">
      <c r="A148" s="12" t="str">
        <f t="shared" si="1"/>
        <v/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ht="15.75" customHeight="1">
      <c r="A149" s="12" t="str">
        <f t="shared" si="1"/>
        <v/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 ht="15.75" customHeight="1">
      <c r="A150" s="12" t="str">
        <f t="shared" si="1"/>
        <v/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ht="15.75" customHeight="1">
      <c r="A151" s="12" t="str">
        <f t="shared" si="1"/>
        <v/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ht="15.75" customHeight="1">
      <c r="A152" s="12" t="str">
        <f t="shared" si="1"/>
        <v/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ht="15.75" customHeight="1">
      <c r="A153" s="12" t="str">
        <f t="shared" si="1"/>
        <v/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 ht="15.75" customHeight="1">
      <c r="A154" s="12" t="str">
        <f t="shared" si="1"/>
        <v/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ht="15.75" customHeight="1">
      <c r="A155" s="12" t="str">
        <f t="shared" si="1"/>
        <v/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ht="15.75" customHeight="1">
      <c r="A156" s="12" t="str">
        <f t="shared" si="1"/>
        <v/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ht="15.75" customHeight="1">
      <c r="A157" s="12" t="str">
        <f t="shared" si="1"/>
        <v/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ht="15.75" customHeight="1">
      <c r="A158" s="12" t="str">
        <f t="shared" si="1"/>
        <v/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 ht="15.75" customHeight="1">
      <c r="A159" s="12" t="str">
        <f t="shared" si="1"/>
        <v/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ht="15.75" customHeight="1">
      <c r="A160" s="12" t="str">
        <f t="shared" si="1"/>
        <v/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ht="15.75" customHeight="1">
      <c r="A161" s="12" t="str">
        <f t="shared" si="1"/>
        <v/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ht="15.75" customHeight="1">
      <c r="A162" s="12" t="str">
        <f t="shared" si="1"/>
        <v/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 ht="15.75" customHeight="1">
      <c r="A163" s="12" t="str">
        <f t="shared" si="1"/>
        <v/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ht="15.75" customHeight="1">
      <c r="A164" s="12" t="str">
        <f t="shared" si="1"/>
        <v/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ht="15.75" customHeight="1">
      <c r="A165" s="12" t="str">
        <f t="shared" si="1"/>
        <v/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ht="15.75" customHeight="1">
      <c r="A166" s="12" t="str">
        <f t="shared" si="1"/>
        <v/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ht="15.75" customHeight="1">
      <c r="A167" s="12" t="str">
        <f t="shared" si="1"/>
        <v/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ht="15.75" customHeight="1">
      <c r="A168" s="12" t="str">
        <f t="shared" si="1"/>
        <v/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 ht="15.75" customHeight="1">
      <c r="A169" s="12" t="str">
        <f t="shared" si="1"/>
        <v/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ht="15.75" customHeight="1">
      <c r="A170" s="12" t="str">
        <f t="shared" si="1"/>
        <v/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ht="15.75" customHeight="1">
      <c r="A171" s="12" t="str">
        <f t="shared" si="1"/>
        <v/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ht="15.75" customHeight="1">
      <c r="A172" s="12" t="str">
        <f t="shared" si="1"/>
        <v/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 ht="15.75" customHeight="1">
      <c r="A173" s="12" t="str">
        <f t="shared" si="1"/>
        <v/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 ht="15.75" customHeight="1">
      <c r="A174" s="12" t="str">
        <f t="shared" si="1"/>
        <v/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 ht="15.75" customHeight="1">
      <c r="A175" s="12" t="str">
        <f t="shared" si="1"/>
        <v/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ht="15.75" customHeight="1">
      <c r="A176" s="12" t="str">
        <f t="shared" si="1"/>
        <v/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ht="15.75" customHeight="1">
      <c r="A177" s="12" t="str">
        <f t="shared" si="1"/>
        <v/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ht="15.75" customHeight="1">
      <c r="A178" s="12" t="str">
        <f t="shared" si="1"/>
        <v/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 ht="15.75" customHeight="1">
      <c r="A179" s="12" t="str">
        <f t="shared" si="1"/>
        <v/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ht="15.75" customHeight="1">
      <c r="A180" s="12" t="str">
        <f t="shared" si="1"/>
        <v/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 ht="15.75" customHeight="1">
      <c r="A181" s="12" t="str">
        <f t="shared" si="1"/>
        <v/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ht="15.75" customHeight="1">
      <c r="A182" s="12" t="str">
        <f t="shared" si="1"/>
        <v/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 ht="15.75" customHeight="1">
      <c r="A183" s="12" t="str">
        <f t="shared" si="1"/>
        <v/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 ht="15.75" customHeight="1">
      <c r="A184" s="12" t="str">
        <f t="shared" si="1"/>
        <v/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 ht="15.75" customHeight="1">
      <c r="A185" s="12" t="str">
        <f t="shared" si="1"/>
        <v/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 ht="15.75" customHeight="1">
      <c r="A186" s="12" t="str">
        <f t="shared" si="1"/>
        <v/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 ht="15.75" customHeight="1">
      <c r="A187" s="12" t="str">
        <f t="shared" si="1"/>
        <v/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ht="15.75" customHeight="1">
      <c r="A188" s="12" t="str">
        <f t="shared" si="1"/>
        <v/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 ht="15.75" customHeight="1">
      <c r="A189" s="12" t="str">
        <f t="shared" si="1"/>
        <v/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ht="15.75" customHeight="1">
      <c r="A190" s="12" t="str">
        <f t="shared" si="1"/>
        <v/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 ht="15.75" customHeight="1">
      <c r="A191" s="12" t="str">
        <f t="shared" si="1"/>
        <v/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ht="15.75" customHeight="1">
      <c r="A192" s="12" t="str">
        <f t="shared" si="1"/>
        <v/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ht="15.75" customHeight="1">
      <c r="A193" s="12" t="str">
        <f t="shared" si="1"/>
        <v/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ht="15.75" customHeight="1">
      <c r="A194" s="12" t="str">
        <f t="shared" si="1"/>
        <v/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 ht="15.75" customHeight="1">
      <c r="A195" s="12" t="str">
        <f t="shared" si="1"/>
        <v/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ht="15.75" customHeight="1">
      <c r="A196" s="12" t="str">
        <f t="shared" si="1"/>
        <v/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ht="15.75" customHeight="1">
      <c r="A197" s="12" t="str">
        <f t="shared" si="1"/>
        <v/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ht="15.75" customHeight="1">
      <c r="A198" s="12" t="str">
        <f t="shared" si="1"/>
        <v/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ht="15.75" customHeight="1">
      <c r="A199" s="12" t="str">
        <f t="shared" si="1"/>
        <v/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 ht="15.75" customHeight="1">
      <c r="A200" s="12" t="str">
        <f t="shared" si="1"/>
        <v/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r="201" ht="15.75" customHeight="1">
      <c r="A201" s="12" t="str">
        <f t="shared" si="1"/>
        <v/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</row>
    <row r="202" ht="15.75" customHeight="1">
      <c r="A202" s="12" t="str">
        <f t="shared" si="1"/>
        <v/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</row>
    <row r="203" ht="15.75" customHeight="1">
      <c r="A203" s="12" t="str">
        <f t="shared" si="1"/>
        <v/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 ht="15.75" customHeight="1">
      <c r="A204" s="12" t="str">
        <f t="shared" si="1"/>
        <v/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</row>
    <row r="205" ht="15.75" customHeight="1">
      <c r="A205" s="12" t="str">
        <f t="shared" si="1"/>
        <v/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</row>
    <row r="206" ht="15.75" customHeight="1">
      <c r="A206" s="12" t="str">
        <f t="shared" si="1"/>
        <v/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 ht="15.75" customHeight="1">
      <c r="A207" s="12" t="str">
        <f t="shared" si="1"/>
        <v/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 ht="15.75" customHeight="1">
      <c r="A208" s="12" t="str">
        <f t="shared" si="1"/>
        <v/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</row>
    <row r="209" ht="15.75" customHeight="1">
      <c r="A209" s="12" t="str">
        <f t="shared" si="1"/>
        <v/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</row>
    <row r="210" ht="15.75" customHeight="1">
      <c r="A210" s="12" t="str">
        <f t="shared" si="1"/>
        <v/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</row>
    <row r="211" ht="15.75" customHeight="1">
      <c r="A211" s="12" t="str">
        <f t="shared" si="1"/>
        <v/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</row>
    <row r="212" ht="15.75" customHeight="1">
      <c r="A212" s="12" t="str">
        <f t="shared" si="1"/>
        <v/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</row>
    <row r="213" ht="15.75" customHeight="1">
      <c r="A213" s="12" t="str">
        <f t="shared" si="1"/>
        <v/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 ht="15.75" customHeight="1">
      <c r="A214" s="12" t="str">
        <f t="shared" si="1"/>
        <v/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</row>
    <row r="215" ht="15.75" customHeight="1">
      <c r="A215" s="12" t="str">
        <f t="shared" si="1"/>
        <v/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 ht="15.75" customHeight="1">
      <c r="A216" s="12" t="str">
        <f t="shared" si="1"/>
        <v/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</row>
    <row r="217" ht="15.75" customHeight="1">
      <c r="A217" s="12" t="str">
        <f t="shared" si="1"/>
        <v/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</row>
    <row r="218" ht="15.75" customHeight="1">
      <c r="A218" s="12" t="str">
        <f t="shared" si="1"/>
        <v/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</row>
    <row r="219" ht="15.75" customHeight="1">
      <c r="A219" s="12" t="str">
        <f t="shared" si="1"/>
        <v/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ht="15.75" customHeight="1">
      <c r="A220" s="12" t="str">
        <f t="shared" si="1"/>
        <v/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 ht="15.75" customHeight="1">
      <c r="A221" s="12" t="str">
        <f t="shared" si="1"/>
        <v/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 ht="15.75" customHeight="1">
      <c r="A222" s="12" t="str">
        <f t="shared" si="1"/>
        <v/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3" ht="15.75" customHeight="1">
      <c r="A223" s="12" t="str">
        <f t="shared" si="1"/>
        <v/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</row>
    <row r="224" ht="15.75" customHeight="1">
      <c r="A224" s="12" t="str">
        <f t="shared" si="1"/>
        <v/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</row>
    <row r="225" ht="15.75" customHeight="1">
      <c r="A225" s="12" t="str">
        <f t="shared" si="1"/>
        <v/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 ht="15.75" customHeight="1">
      <c r="A226" s="12" t="str">
        <f t="shared" si="1"/>
        <v/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 ht="15.75" customHeight="1">
      <c r="A227" s="12" t="str">
        <f t="shared" si="1"/>
        <v/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 ht="15.75" customHeight="1">
      <c r="A228" s="12" t="str">
        <f t="shared" si="1"/>
        <v/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</row>
    <row r="229" ht="15.75" customHeight="1">
      <c r="A229" s="12" t="str">
        <f t="shared" si="1"/>
        <v/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</row>
    <row r="230" ht="15.75" customHeight="1">
      <c r="A230" s="12" t="str">
        <f t="shared" si="1"/>
        <v/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</row>
    <row r="231" ht="15.75" customHeight="1">
      <c r="A231" s="12" t="str">
        <f t="shared" si="1"/>
        <v/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</row>
    <row r="232" ht="15.75" customHeight="1">
      <c r="A232" s="12" t="str">
        <f t="shared" si="1"/>
        <v/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ht="15.75" customHeight="1">
      <c r="A233" s="12" t="str">
        <f t="shared" si="1"/>
        <v/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</row>
    <row r="234" ht="15.75" customHeight="1">
      <c r="A234" s="12" t="str">
        <f t="shared" si="1"/>
        <v/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</row>
    <row r="235" ht="15.75" customHeight="1">
      <c r="A235" s="12" t="str">
        <f t="shared" si="1"/>
        <v/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</row>
    <row r="236" ht="15.75" customHeight="1">
      <c r="A236" s="12" t="str">
        <f t="shared" si="1"/>
        <v/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</row>
    <row r="237" ht="15.75" customHeight="1">
      <c r="A237" s="12" t="str">
        <f t="shared" si="1"/>
        <v/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</row>
    <row r="238" ht="15.75" customHeight="1">
      <c r="A238" s="12" t="str">
        <f t="shared" si="1"/>
        <v/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</row>
    <row r="239" ht="15.75" customHeight="1">
      <c r="A239" s="12" t="str">
        <f t="shared" si="1"/>
        <v/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</row>
    <row r="240" ht="15.75" customHeight="1">
      <c r="A240" s="12" t="str">
        <f t="shared" si="1"/>
        <v/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</row>
    <row r="241" ht="15.75" customHeight="1">
      <c r="A241" s="12" t="str">
        <f t="shared" si="1"/>
        <v/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</row>
    <row r="242" ht="15.75" customHeight="1">
      <c r="A242" s="12" t="str">
        <f t="shared" si="1"/>
        <v/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</row>
    <row r="243" ht="15.75" customHeight="1">
      <c r="A243" s="12" t="str">
        <f t="shared" si="1"/>
        <v/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</row>
    <row r="244" ht="15.75" customHeight="1">
      <c r="A244" s="12" t="str">
        <f t="shared" si="1"/>
        <v/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</row>
    <row r="245" ht="15.75" customHeight="1">
      <c r="A245" s="12" t="str">
        <f t="shared" si="1"/>
        <v/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</row>
    <row r="246" ht="15.75" customHeight="1">
      <c r="A246" s="12" t="str">
        <f t="shared" si="1"/>
        <v/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</row>
    <row r="247" ht="15.75" customHeight="1">
      <c r="A247" s="12" t="str">
        <f t="shared" si="1"/>
        <v/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</row>
    <row r="248" ht="15.75" customHeight="1">
      <c r="A248" s="12" t="str">
        <f t="shared" si="1"/>
        <v/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</row>
    <row r="249" ht="15.75" customHeight="1">
      <c r="A249" s="12" t="str">
        <f t="shared" si="1"/>
        <v/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</row>
    <row r="250" ht="15.75" customHeight="1">
      <c r="A250" s="12" t="str">
        <f t="shared" si="1"/>
        <v/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r="251" ht="15.75" customHeight="1">
      <c r="A251" s="12" t="str">
        <f t="shared" si="1"/>
        <v/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</row>
    <row r="252" ht="15.75" customHeight="1">
      <c r="A252" s="12" t="str">
        <f t="shared" si="1"/>
        <v/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</row>
    <row r="253" ht="15.75" customHeight="1">
      <c r="A253" s="12" t="str">
        <f t="shared" si="1"/>
        <v/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</row>
    <row r="254" ht="15.75" customHeight="1">
      <c r="A254" s="12" t="str">
        <f t="shared" si="1"/>
        <v/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</row>
    <row r="255" ht="15.75" customHeight="1">
      <c r="A255" s="12" t="str">
        <f t="shared" si="1"/>
        <v/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</row>
    <row r="256" ht="15.75" customHeight="1">
      <c r="A256" s="12" t="str">
        <f t="shared" si="1"/>
        <v/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</row>
    <row r="257" ht="15.75" customHeight="1">
      <c r="A257" s="12" t="str">
        <f t="shared" si="1"/>
        <v/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</row>
    <row r="258" ht="15.75" customHeight="1">
      <c r="A258" s="12" t="str">
        <f t="shared" si="1"/>
        <v/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</row>
    <row r="259" ht="15.75" customHeight="1">
      <c r="A259" s="12" t="str">
        <f t="shared" si="1"/>
        <v/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</row>
    <row r="260" ht="15.75" customHeight="1">
      <c r="A260" s="12" t="str">
        <f t="shared" si="1"/>
        <v/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</row>
    <row r="261" ht="15.75" customHeight="1">
      <c r="A261" s="12" t="str">
        <f t="shared" si="1"/>
        <v/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</row>
    <row r="262" ht="15.75" customHeight="1">
      <c r="A262" s="12" t="str">
        <f t="shared" si="1"/>
        <v/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</row>
    <row r="263" ht="15.75" customHeight="1">
      <c r="A263" s="12" t="str">
        <f t="shared" si="1"/>
        <v/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</row>
    <row r="264" ht="15.75" customHeight="1">
      <c r="A264" s="12" t="str">
        <f t="shared" si="1"/>
        <v/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</row>
    <row r="265" ht="15.75" customHeight="1">
      <c r="A265" s="12" t="str">
        <f t="shared" si="1"/>
        <v/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</row>
    <row r="266" ht="15.75" customHeight="1">
      <c r="A266" s="12" t="str">
        <f t="shared" si="1"/>
        <v/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</row>
    <row r="267" ht="15.75" customHeight="1">
      <c r="A267" s="12" t="str">
        <f t="shared" si="1"/>
        <v/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</row>
    <row r="268" ht="15.75" customHeight="1">
      <c r="A268" s="12" t="str">
        <f t="shared" si="1"/>
        <v/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</row>
    <row r="269" ht="15.75" customHeight="1">
      <c r="A269" s="12" t="str">
        <f t="shared" si="1"/>
        <v/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</row>
    <row r="270" ht="15.75" customHeight="1">
      <c r="A270" s="12" t="str">
        <f t="shared" si="1"/>
        <v/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</row>
    <row r="271" ht="15.75" customHeight="1">
      <c r="A271" s="12" t="str">
        <f t="shared" si="1"/>
        <v/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</row>
    <row r="272" ht="15.75" customHeight="1">
      <c r="A272" s="12" t="str">
        <f t="shared" si="1"/>
        <v/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</row>
    <row r="273" ht="15.75" customHeight="1">
      <c r="A273" s="12" t="str">
        <f t="shared" si="1"/>
        <v/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</row>
    <row r="274" ht="15.75" customHeight="1">
      <c r="A274" s="12" t="str">
        <f t="shared" si="1"/>
        <v/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</row>
    <row r="275" ht="15.75" customHeight="1">
      <c r="A275" s="12" t="str">
        <f t="shared" si="1"/>
        <v/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</row>
    <row r="276" ht="15.75" customHeight="1">
      <c r="A276" s="12" t="str">
        <f t="shared" si="1"/>
        <v/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</row>
    <row r="277" ht="15.75" customHeight="1">
      <c r="A277" s="12" t="str">
        <f t="shared" si="1"/>
        <v/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ht="15.75" customHeight="1">
      <c r="A278" s="12" t="str">
        <f t="shared" si="1"/>
        <v/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</row>
    <row r="279" ht="15.75" customHeight="1">
      <c r="A279" s="12" t="str">
        <f t="shared" si="1"/>
        <v/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</row>
    <row r="280" ht="15.75" customHeight="1">
      <c r="A280" s="12" t="str">
        <f t="shared" si="1"/>
        <v/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</row>
    <row r="281" ht="15.75" customHeight="1">
      <c r="A281" s="12" t="str">
        <f t="shared" si="1"/>
        <v/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 ht="15.75" customHeight="1">
      <c r="A282" s="12" t="str">
        <f t="shared" si="1"/>
        <v/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ht="15.75" customHeight="1">
      <c r="A283" s="12" t="str">
        <f t="shared" si="1"/>
        <v/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</row>
    <row r="284" ht="15.75" customHeight="1">
      <c r="A284" s="12" t="str">
        <f t="shared" si="1"/>
        <v/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</row>
    <row r="285" ht="15.75" customHeight="1">
      <c r="A285" s="12" t="str">
        <f t="shared" si="1"/>
        <v/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</row>
    <row r="286" ht="15.75" customHeight="1">
      <c r="A286" s="12" t="str">
        <f t="shared" si="1"/>
        <v/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</row>
    <row r="287" ht="15.75" customHeight="1">
      <c r="A287" s="12" t="str">
        <f t="shared" si="1"/>
        <v/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ht="15.75" customHeight="1">
      <c r="A288" s="12" t="str">
        <f t="shared" si="1"/>
        <v/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</row>
    <row r="289" ht="15.75" customHeight="1">
      <c r="A289" s="12" t="str">
        <f t="shared" si="1"/>
        <v/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</row>
    <row r="290" ht="15.75" customHeight="1">
      <c r="A290" s="12" t="str">
        <f t="shared" si="1"/>
        <v/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</row>
    <row r="291" ht="15.75" customHeight="1">
      <c r="A291" s="12" t="str">
        <f t="shared" si="1"/>
        <v/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</row>
    <row r="292" ht="15.75" customHeight="1">
      <c r="A292" s="12" t="str">
        <f t="shared" si="1"/>
        <v/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</row>
    <row r="293" ht="15.75" customHeight="1">
      <c r="A293" s="12" t="str">
        <f t="shared" si="1"/>
        <v/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</row>
    <row r="294" ht="15.75" customHeight="1">
      <c r="A294" s="12" t="str">
        <f t="shared" si="1"/>
        <v/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</row>
    <row r="295" ht="15.75" customHeight="1">
      <c r="A295" s="12" t="str">
        <f t="shared" si="1"/>
        <v/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</row>
    <row r="296" ht="15.75" customHeight="1">
      <c r="A296" s="12" t="str">
        <f t="shared" si="1"/>
        <v/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ht="15.75" customHeight="1">
      <c r="A297" s="12" t="str">
        <f t="shared" si="1"/>
        <v/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ht="15.75" customHeight="1">
      <c r="A298" s="12" t="str">
        <f t="shared" si="1"/>
        <v/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ht="15.75" customHeight="1">
      <c r="A299" s="12" t="str">
        <f t="shared" si="1"/>
        <v/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</row>
    <row r="300" ht="15.75" customHeight="1">
      <c r="A300" s="12" t="str">
        <f t="shared" si="1"/>
        <v/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 ht="15.75" customHeight="1">
      <c r="A301" s="12" t="str">
        <f t="shared" si="1"/>
        <v/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  <row r="302" ht="15.75" customHeight="1">
      <c r="A302" s="12" t="str">
        <f t="shared" si="1"/>
        <v/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</row>
    <row r="303" ht="15.75" customHeight="1">
      <c r="A303" s="12" t="str">
        <f t="shared" si="1"/>
        <v/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</row>
    <row r="304" ht="15.75" customHeight="1">
      <c r="A304" s="12" t="str">
        <f t="shared" si="1"/>
        <v/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</row>
    <row r="305" ht="15.75" customHeight="1">
      <c r="A305" s="12" t="str">
        <f t="shared" si="1"/>
        <v/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</row>
    <row r="306" ht="15.75" customHeight="1">
      <c r="A306" s="12" t="str">
        <f t="shared" si="1"/>
        <v/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</row>
    <row r="307" ht="15.75" customHeight="1">
      <c r="A307" s="12" t="str">
        <f t="shared" si="1"/>
        <v/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</row>
    <row r="308" ht="15.75" customHeight="1">
      <c r="A308" s="12" t="str">
        <f t="shared" si="1"/>
        <v/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</row>
    <row r="309" ht="15.75" customHeight="1">
      <c r="A309" s="12" t="str">
        <f t="shared" si="1"/>
        <v/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 ht="15.75" customHeight="1">
      <c r="A310" s="12" t="str">
        <f t="shared" si="1"/>
        <v/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5.75" customHeight="1">
      <c r="A311" s="12" t="str">
        <f t="shared" si="1"/>
        <v/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ht="15.75" customHeight="1">
      <c r="A312" s="12" t="str">
        <f t="shared" si="1"/>
        <v/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</row>
    <row r="313" ht="15.75" customHeight="1">
      <c r="A313" s="12" t="str">
        <f t="shared" si="1"/>
        <v/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</row>
    <row r="314" ht="15.75" customHeight="1">
      <c r="A314" s="12" t="str">
        <f t="shared" si="1"/>
        <v/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</row>
    <row r="315" ht="15.75" customHeight="1">
      <c r="A315" s="12" t="str">
        <f t="shared" si="1"/>
        <v/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</row>
    <row r="316" ht="15.75" customHeight="1">
      <c r="A316" s="12" t="str">
        <f t="shared" si="1"/>
        <v/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</row>
    <row r="317" ht="15.75" customHeight="1">
      <c r="A317" s="12" t="str">
        <f t="shared" si="1"/>
        <v/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</row>
    <row r="318" ht="15.75" customHeight="1">
      <c r="A318" s="12" t="str">
        <f t="shared" si="1"/>
        <v/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</row>
    <row r="319" ht="15.75" customHeight="1">
      <c r="A319" s="12" t="str">
        <f t="shared" si="1"/>
        <v/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</row>
    <row r="320" ht="15.75" customHeight="1">
      <c r="A320" s="12" t="str">
        <f t="shared" si="1"/>
        <v/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</row>
    <row r="321" ht="15.75" customHeight="1">
      <c r="A321" s="12" t="str">
        <f t="shared" si="1"/>
        <v/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</row>
    <row r="322" ht="15.75" customHeight="1">
      <c r="A322" s="12" t="str">
        <f t="shared" si="1"/>
        <v/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</row>
    <row r="323" ht="15.75" customHeight="1">
      <c r="A323" s="12" t="str">
        <f t="shared" si="1"/>
        <v/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</row>
    <row r="324" ht="15.75" customHeight="1">
      <c r="A324" s="12" t="str">
        <f t="shared" si="1"/>
        <v/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</row>
    <row r="325" ht="15.75" customHeight="1">
      <c r="A325" s="12" t="str">
        <f t="shared" si="1"/>
        <v/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</row>
    <row r="326" ht="15.75" customHeight="1">
      <c r="A326" s="12" t="str">
        <f t="shared" si="1"/>
        <v/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</row>
    <row r="327" ht="15.75" customHeight="1">
      <c r="A327" s="12" t="str">
        <f t="shared" si="1"/>
        <v/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</row>
    <row r="328" ht="15.75" customHeight="1">
      <c r="A328" s="12" t="str">
        <f t="shared" si="1"/>
        <v/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</row>
    <row r="329" ht="15.75" customHeight="1">
      <c r="A329" s="12" t="str">
        <f t="shared" si="1"/>
        <v/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</row>
    <row r="330" ht="15.75" customHeight="1">
      <c r="A330" s="12" t="str">
        <f t="shared" si="1"/>
        <v/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</row>
    <row r="331" ht="15.75" customHeight="1">
      <c r="A331" s="12" t="str">
        <f t="shared" si="1"/>
        <v/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</row>
    <row r="332" ht="15.75" customHeight="1">
      <c r="A332" s="12" t="str">
        <f t="shared" si="1"/>
        <v/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</row>
    <row r="333" ht="15.75" customHeight="1">
      <c r="A333" s="12" t="str">
        <f t="shared" si="1"/>
        <v/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</row>
    <row r="334" ht="15.75" customHeight="1">
      <c r="A334" s="12" t="str">
        <f t="shared" si="1"/>
        <v/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</row>
    <row r="335" ht="15.75" customHeight="1">
      <c r="A335" s="12" t="str">
        <f t="shared" si="1"/>
        <v/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</row>
    <row r="336" ht="15.75" customHeight="1">
      <c r="A336" s="12" t="str">
        <f t="shared" si="1"/>
        <v/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</row>
    <row r="337" ht="15.75" customHeight="1">
      <c r="A337" s="12" t="str">
        <f t="shared" si="1"/>
        <v/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</row>
    <row r="338" ht="15.75" customHeight="1">
      <c r="A338" s="12" t="str">
        <f t="shared" si="1"/>
        <v/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</row>
    <row r="339" ht="15.75" customHeight="1">
      <c r="A339" s="12" t="str">
        <f t="shared" si="1"/>
        <v/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</row>
    <row r="340" ht="15.75" customHeight="1">
      <c r="A340" s="12" t="str">
        <f t="shared" si="1"/>
        <v/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</row>
    <row r="341" ht="15.75" customHeight="1">
      <c r="A341" s="12" t="str">
        <f t="shared" si="1"/>
        <v/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</row>
    <row r="342" ht="15.75" customHeight="1">
      <c r="A342" s="12" t="str">
        <f t="shared" si="1"/>
        <v/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</row>
    <row r="343" ht="15.75" customHeight="1">
      <c r="A343" s="12" t="str">
        <f t="shared" si="1"/>
        <v/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</row>
    <row r="344" ht="15.75" customHeight="1">
      <c r="A344" s="12" t="str">
        <f t="shared" si="1"/>
        <v/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</row>
    <row r="345" ht="15.75" customHeight="1">
      <c r="A345" s="12" t="str">
        <f t="shared" si="1"/>
        <v/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</row>
    <row r="346" ht="15.75" customHeight="1">
      <c r="A346" s="12" t="str">
        <f t="shared" si="1"/>
        <v/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</row>
    <row r="347" ht="15.75" customHeight="1">
      <c r="A347" s="12" t="str">
        <f t="shared" si="1"/>
        <v/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</row>
    <row r="348" ht="15.75" customHeight="1">
      <c r="A348" s="12" t="str">
        <f t="shared" si="1"/>
        <v/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</row>
    <row r="349" ht="15.75" customHeight="1">
      <c r="A349" s="12" t="str">
        <f t="shared" si="1"/>
        <v/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</row>
    <row r="350" ht="15.75" customHeight="1">
      <c r="A350" s="12" t="str">
        <f t="shared" si="1"/>
        <v/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</row>
    <row r="351" ht="15.75" customHeight="1">
      <c r="A351" s="12" t="str">
        <f t="shared" si="1"/>
        <v/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</row>
    <row r="352" ht="15.75" customHeight="1">
      <c r="A352" s="12" t="str">
        <f t="shared" si="1"/>
        <v/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</row>
    <row r="353" ht="15.75" customHeight="1">
      <c r="A353" s="12" t="str">
        <f t="shared" si="1"/>
        <v/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</row>
    <row r="354" ht="15.75" customHeight="1">
      <c r="A354" s="12" t="str">
        <f t="shared" si="1"/>
        <v/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</row>
    <row r="355" ht="15.75" customHeight="1">
      <c r="A355" s="12" t="str">
        <f t="shared" si="1"/>
        <v/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</row>
    <row r="356" ht="15.75" customHeight="1">
      <c r="A356" s="12" t="str">
        <f t="shared" si="1"/>
        <v/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</row>
    <row r="357" ht="15.75" customHeight="1">
      <c r="A357" s="12" t="str">
        <f t="shared" si="1"/>
        <v/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</row>
    <row r="358" ht="15.75" customHeight="1">
      <c r="A358" s="12" t="str">
        <f t="shared" si="1"/>
        <v/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</row>
    <row r="359" ht="15.75" customHeight="1">
      <c r="A359" s="12" t="str">
        <f t="shared" si="1"/>
        <v/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</row>
    <row r="360" ht="15.75" customHeight="1">
      <c r="A360" s="12" t="str">
        <f t="shared" si="1"/>
        <v/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</row>
    <row r="361" ht="15.75" customHeight="1">
      <c r="A361" s="12" t="str">
        <f t="shared" si="1"/>
        <v/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</row>
    <row r="362" ht="15.75" customHeight="1">
      <c r="A362" s="12" t="str">
        <f t="shared" si="1"/>
        <v/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</row>
    <row r="363" ht="15.75" customHeight="1">
      <c r="A363" s="12" t="str">
        <f t="shared" si="1"/>
        <v/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</row>
    <row r="364" ht="15.75" customHeight="1">
      <c r="A364" s="12" t="str">
        <f t="shared" si="1"/>
        <v/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</row>
    <row r="365" ht="15.75" customHeight="1">
      <c r="A365" s="12" t="str">
        <f t="shared" si="1"/>
        <v/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</row>
    <row r="366" ht="15.75" customHeight="1">
      <c r="A366" s="12" t="str">
        <f t="shared" si="1"/>
        <v/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</row>
    <row r="367" ht="15.75" customHeight="1">
      <c r="A367" s="12" t="str">
        <f t="shared" si="1"/>
        <v/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</row>
    <row r="368" ht="15.75" customHeight="1">
      <c r="A368" s="12" t="str">
        <f t="shared" si="1"/>
        <v/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</row>
    <row r="369" ht="15.75" customHeight="1">
      <c r="A369" s="12" t="str">
        <f t="shared" si="1"/>
        <v/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</row>
    <row r="370" ht="15.75" customHeight="1">
      <c r="A370" s="12" t="str">
        <f t="shared" si="1"/>
        <v/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</row>
    <row r="371" ht="15.75" customHeight="1">
      <c r="A371" s="12" t="str">
        <f t="shared" si="1"/>
        <v/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</row>
    <row r="372" ht="15.75" customHeight="1">
      <c r="A372" s="12" t="str">
        <f t="shared" si="1"/>
        <v/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</row>
    <row r="373" ht="15.75" customHeight="1">
      <c r="A373" s="12" t="str">
        <f t="shared" si="1"/>
        <v/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</row>
    <row r="374" ht="15.75" customHeight="1">
      <c r="A374" s="12" t="str">
        <f t="shared" si="1"/>
        <v/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</row>
    <row r="375" ht="15.75" customHeight="1">
      <c r="A375" s="12" t="str">
        <f t="shared" si="1"/>
        <v/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</row>
    <row r="376" ht="15.75" customHeight="1">
      <c r="A376" s="12" t="str">
        <f t="shared" si="1"/>
        <v/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</row>
    <row r="377" ht="15.75" customHeight="1">
      <c r="A377" s="12" t="str">
        <f t="shared" si="1"/>
        <v/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</row>
    <row r="378" ht="15.75" customHeight="1">
      <c r="A378" s="12" t="str">
        <f t="shared" si="1"/>
        <v/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</row>
    <row r="379" ht="15.75" customHeight="1">
      <c r="A379" s="12" t="str">
        <f t="shared" si="1"/>
        <v/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</row>
    <row r="380" ht="15.75" customHeight="1">
      <c r="A380" s="12" t="str">
        <f t="shared" si="1"/>
        <v/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</row>
    <row r="381" ht="15.75" customHeight="1">
      <c r="A381" s="12" t="str">
        <f t="shared" si="1"/>
        <v/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</row>
    <row r="382" ht="15.75" customHeight="1">
      <c r="A382" s="12" t="str">
        <f t="shared" si="1"/>
        <v/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</row>
    <row r="383" ht="15.75" customHeight="1">
      <c r="A383" s="12" t="str">
        <f t="shared" si="1"/>
        <v/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</row>
    <row r="384" ht="15.75" customHeight="1">
      <c r="A384" s="12" t="str">
        <f t="shared" si="1"/>
        <v/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</row>
    <row r="385" ht="15.75" customHeight="1">
      <c r="A385" s="12" t="str">
        <f t="shared" si="1"/>
        <v/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</row>
    <row r="386" ht="15.75" customHeight="1">
      <c r="A386" s="12" t="str">
        <f t="shared" si="1"/>
        <v/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</row>
    <row r="387" ht="15.75" customHeight="1">
      <c r="A387" s="12" t="str">
        <f t="shared" si="1"/>
        <v/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</row>
    <row r="388" ht="15.75" customHeight="1">
      <c r="A388" s="12" t="str">
        <f t="shared" si="1"/>
        <v/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</row>
    <row r="389" ht="15.75" customHeight="1">
      <c r="A389" s="12" t="str">
        <f t="shared" si="1"/>
        <v/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</row>
    <row r="390" ht="15.75" customHeight="1">
      <c r="A390" s="12" t="str">
        <f t="shared" si="1"/>
        <v/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</row>
    <row r="391" ht="15.75" customHeight="1">
      <c r="A391" s="12" t="str">
        <f t="shared" si="1"/>
        <v/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</row>
    <row r="392" ht="15.75" customHeight="1">
      <c r="A392" s="12" t="str">
        <f t="shared" si="1"/>
        <v/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</row>
    <row r="393" ht="15.75" customHeight="1">
      <c r="A393" s="12" t="str">
        <f t="shared" si="1"/>
        <v/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</row>
    <row r="394" ht="15.75" customHeight="1">
      <c r="A394" s="12" t="str">
        <f t="shared" si="1"/>
        <v/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</row>
    <row r="395" ht="15.75" customHeight="1">
      <c r="A395" s="12" t="str">
        <f t="shared" si="1"/>
        <v/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</row>
    <row r="396" ht="15.75" customHeight="1">
      <c r="A396" s="12" t="str">
        <f t="shared" si="1"/>
        <v/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</row>
    <row r="397" ht="15.75" customHeight="1">
      <c r="A397" s="12" t="str">
        <f t="shared" si="1"/>
        <v/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</row>
    <row r="398" ht="15.75" customHeight="1">
      <c r="A398" s="12" t="str">
        <f t="shared" si="1"/>
        <v/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</row>
    <row r="399" ht="15.75" customHeight="1">
      <c r="A399" s="12" t="str">
        <f t="shared" si="1"/>
        <v/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</row>
    <row r="400" ht="15.75" customHeight="1">
      <c r="A400" s="12" t="str">
        <f t="shared" si="1"/>
        <v/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</row>
    <row r="401" ht="15.75" customHeight="1">
      <c r="A401" s="12" t="str">
        <f t="shared" si="1"/>
        <v/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</row>
    <row r="402" ht="15.75" customHeight="1">
      <c r="A402" s="12" t="str">
        <f t="shared" si="1"/>
        <v/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</row>
    <row r="403" ht="15.75" customHeight="1">
      <c r="A403" s="12" t="str">
        <f t="shared" si="1"/>
        <v/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</row>
    <row r="404" ht="15.75" customHeight="1">
      <c r="A404" s="12" t="str">
        <f t="shared" si="1"/>
        <v/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</row>
    <row r="405" ht="15.75" customHeight="1">
      <c r="A405" s="12" t="str">
        <f t="shared" si="1"/>
        <v/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</row>
    <row r="406" ht="15.75" customHeight="1">
      <c r="A406" s="12" t="str">
        <f t="shared" si="1"/>
        <v/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</row>
    <row r="407" ht="15.75" customHeight="1">
      <c r="A407" s="12" t="str">
        <f t="shared" si="1"/>
        <v/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</row>
    <row r="408" ht="15.75" customHeight="1">
      <c r="A408" s="12" t="str">
        <f t="shared" si="1"/>
        <v/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</row>
    <row r="409" ht="15.75" customHeight="1">
      <c r="A409" s="12" t="str">
        <f t="shared" si="1"/>
        <v/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</row>
    <row r="410" ht="15.75" customHeight="1">
      <c r="A410" s="12" t="str">
        <f t="shared" si="1"/>
        <v/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</row>
    <row r="411" ht="15.75" customHeight="1">
      <c r="A411" s="12" t="str">
        <f t="shared" si="1"/>
        <v/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</row>
    <row r="412" ht="15.75" customHeight="1">
      <c r="A412" s="12" t="str">
        <f t="shared" si="1"/>
        <v/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</row>
    <row r="413" ht="15.75" customHeight="1">
      <c r="A413" s="12" t="str">
        <f t="shared" si="1"/>
        <v/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</row>
    <row r="414" ht="15.75" customHeight="1">
      <c r="A414" s="12" t="str">
        <f t="shared" si="1"/>
        <v/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</row>
    <row r="415" ht="15.75" customHeight="1">
      <c r="A415" s="12" t="str">
        <f t="shared" si="1"/>
        <v/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</row>
    <row r="416" ht="15.75" customHeight="1">
      <c r="A416" s="12" t="str">
        <f t="shared" si="1"/>
        <v/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</row>
    <row r="417" ht="15.75" customHeight="1">
      <c r="A417" s="12" t="str">
        <f t="shared" si="1"/>
        <v/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</row>
    <row r="418" ht="15.75" customHeight="1">
      <c r="A418" s="12" t="str">
        <f t="shared" si="1"/>
        <v/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</row>
    <row r="419" ht="15.75" customHeight="1">
      <c r="A419" s="12" t="str">
        <f t="shared" si="1"/>
        <v/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</row>
    <row r="420" ht="15.75" customHeight="1">
      <c r="A420" s="12" t="str">
        <f t="shared" si="1"/>
        <v/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</row>
    <row r="421" ht="15.75" customHeight="1">
      <c r="A421" s="12" t="str">
        <f t="shared" si="1"/>
        <v/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</row>
    <row r="422" ht="15.75" customHeight="1">
      <c r="A422" s="12" t="str">
        <f t="shared" si="1"/>
        <v/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</row>
    <row r="423" ht="15.75" customHeight="1">
      <c r="A423" s="12" t="str">
        <f t="shared" si="1"/>
        <v/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</row>
    <row r="424" ht="15.75" customHeight="1">
      <c r="A424" s="12" t="str">
        <f t="shared" si="1"/>
        <v/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</row>
    <row r="425" ht="15.75" customHeight="1">
      <c r="A425" s="12" t="str">
        <f t="shared" si="1"/>
        <v/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</row>
    <row r="426" ht="15.75" customHeight="1">
      <c r="A426" s="12" t="str">
        <f t="shared" si="1"/>
        <v/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</row>
    <row r="427" ht="15.75" customHeight="1">
      <c r="A427" s="12" t="str">
        <f t="shared" si="1"/>
        <v/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</row>
    <row r="428" ht="15.75" customHeight="1">
      <c r="A428" s="12" t="str">
        <f t="shared" si="1"/>
        <v/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</row>
    <row r="429" ht="15.75" customHeight="1">
      <c r="A429" s="12" t="str">
        <f t="shared" si="1"/>
        <v/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</row>
    <row r="430" ht="15.75" customHeight="1">
      <c r="A430" s="12" t="str">
        <f t="shared" si="1"/>
        <v/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</row>
    <row r="431" ht="15.75" customHeight="1">
      <c r="A431" s="12" t="str">
        <f t="shared" si="1"/>
        <v/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</row>
    <row r="432" ht="15.75" customHeight="1">
      <c r="A432" s="12" t="str">
        <f t="shared" si="1"/>
        <v/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</row>
    <row r="433" ht="15.75" customHeight="1">
      <c r="A433" s="12" t="str">
        <f t="shared" si="1"/>
        <v/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</row>
    <row r="434" ht="15.75" customHeight="1">
      <c r="A434" s="12" t="str">
        <f t="shared" si="1"/>
        <v/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</row>
    <row r="435" ht="15.75" customHeight="1">
      <c r="A435" s="12" t="str">
        <f t="shared" si="1"/>
        <v/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</row>
    <row r="436" ht="15.75" customHeight="1">
      <c r="A436" s="12" t="str">
        <f t="shared" si="1"/>
        <v/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</row>
    <row r="437" ht="15.75" customHeight="1">
      <c r="A437" s="12" t="str">
        <f t="shared" si="1"/>
        <v/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</row>
    <row r="438" ht="15.75" customHeight="1">
      <c r="A438" s="12" t="str">
        <f t="shared" si="1"/>
        <v/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</row>
    <row r="439" ht="15.75" customHeight="1">
      <c r="A439" s="12" t="str">
        <f t="shared" si="1"/>
        <v/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</row>
    <row r="440" ht="15.75" customHeight="1">
      <c r="A440" s="12" t="str">
        <f t="shared" si="1"/>
        <v/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</row>
    <row r="441" ht="15.75" customHeight="1">
      <c r="A441" s="12" t="str">
        <f t="shared" si="1"/>
        <v/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</row>
    <row r="442" ht="15.75" customHeight="1">
      <c r="A442" s="12" t="str">
        <f t="shared" si="1"/>
        <v/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</row>
    <row r="443" ht="15.75" customHeight="1">
      <c r="A443" s="12" t="str">
        <f t="shared" si="1"/>
        <v/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</row>
    <row r="444" ht="15.75" customHeight="1">
      <c r="A444" s="12" t="str">
        <f t="shared" si="1"/>
        <v/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</row>
    <row r="445" ht="15.75" customHeight="1">
      <c r="A445" s="12" t="str">
        <f t="shared" si="1"/>
        <v/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</row>
    <row r="446" ht="15.75" customHeight="1">
      <c r="A446" s="12" t="str">
        <f t="shared" si="1"/>
        <v/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/>
    </row>
    <row r="447" ht="15.75" customHeight="1">
      <c r="A447" s="12" t="str">
        <f t="shared" si="1"/>
        <v/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</row>
    <row r="448" ht="15.75" customHeight="1">
      <c r="A448" s="12" t="str">
        <f t="shared" si="1"/>
        <v/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</row>
    <row r="449" ht="15.75" customHeight="1">
      <c r="A449" s="12" t="str">
        <f t="shared" si="1"/>
        <v/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</row>
    <row r="450" ht="15.75" customHeight="1">
      <c r="A450" s="12" t="str">
        <f t="shared" si="1"/>
        <v/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</row>
    <row r="451" ht="15.75" customHeight="1">
      <c r="A451" s="12" t="str">
        <f t="shared" si="1"/>
        <v/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</row>
    <row r="452" ht="15.75" customHeight="1">
      <c r="A452" s="12" t="str">
        <f t="shared" si="1"/>
        <v/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</row>
    <row r="453" ht="15.75" customHeight="1">
      <c r="A453" s="12" t="str">
        <f t="shared" si="1"/>
        <v/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</row>
    <row r="454" ht="15.75" customHeight="1">
      <c r="A454" s="12" t="str">
        <f t="shared" si="1"/>
        <v/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</row>
    <row r="455" ht="15.75" customHeight="1">
      <c r="A455" s="12" t="str">
        <f t="shared" si="1"/>
        <v/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</row>
    <row r="456" ht="15.75" customHeight="1">
      <c r="A456" s="12" t="str">
        <f t="shared" si="1"/>
        <v/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</row>
    <row r="457" ht="15.75" customHeight="1">
      <c r="A457" s="12" t="str">
        <f t="shared" si="1"/>
        <v/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</row>
    <row r="458" ht="15.75" customHeight="1">
      <c r="A458" s="12" t="str">
        <f t="shared" si="1"/>
        <v/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</row>
    <row r="459" ht="15.75" customHeight="1">
      <c r="A459" s="12" t="str">
        <f t="shared" si="1"/>
        <v/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</row>
    <row r="460" ht="15.75" customHeight="1">
      <c r="A460" s="12" t="str">
        <f t="shared" si="1"/>
        <v/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</row>
    <row r="461" ht="15.75" customHeight="1">
      <c r="A461" s="12" t="str">
        <f t="shared" si="1"/>
        <v/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</row>
    <row r="462" ht="15.75" customHeight="1">
      <c r="A462" s="12" t="str">
        <f t="shared" si="1"/>
        <v/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</row>
    <row r="463" ht="15.75" customHeight="1">
      <c r="A463" s="12" t="str">
        <f t="shared" si="1"/>
        <v/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</row>
    <row r="464" ht="15.75" customHeight="1">
      <c r="A464" s="12" t="str">
        <f t="shared" si="1"/>
        <v/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</row>
    <row r="465" ht="15.75" customHeight="1">
      <c r="A465" s="12" t="str">
        <f t="shared" si="1"/>
        <v/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</row>
    <row r="466" ht="15.75" customHeight="1">
      <c r="A466" s="12" t="str">
        <f t="shared" si="1"/>
        <v/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</row>
    <row r="467" ht="15.75" customHeight="1">
      <c r="A467" s="12" t="str">
        <f t="shared" si="1"/>
        <v/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</row>
    <row r="468" ht="15.75" customHeight="1">
      <c r="A468" s="12" t="str">
        <f t="shared" si="1"/>
        <v/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</row>
    <row r="469" ht="15.75" customHeight="1">
      <c r="A469" s="12" t="str">
        <f t="shared" si="1"/>
        <v/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</row>
    <row r="470" ht="15.75" customHeight="1">
      <c r="A470" s="12" t="str">
        <f t="shared" si="1"/>
        <v/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</row>
    <row r="471" ht="15.75" customHeight="1">
      <c r="A471" s="12" t="str">
        <f t="shared" si="1"/>
        <v/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</row>
    <row r="472" ht="15.75" customHeight="1">
      <c r="A472" s="12" t="str">
        <f t="shared" si="1"/>
        <v/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</row>
    <row r="473" ht="15.75" customHeight="1">
      <c r="A473" s="12" t="str">
        <f t="shared" si="1"/>
        <v/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</row>
    <row r="474" ht="15.75" customHeight="1">
      <c r="A474" s="12" t="str">
        <f t="shared" si="1"/>
        <v/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</row>
    <row r="475" ht="15.75" customHeight="1">
      <c r="A475" s="12" t="str">
        <f t="shared" si="1"/>
        <v/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</row>
    <row r="476" ht="15.75" customHeight="1">
      <c r="A476" s="12" t="str">
        <f t="shared" si="1"/>
        <v/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</row>
    <row r="477" ht="15.75" customHeight="1">
      <c r="A477" s="12" t="str">
        <f t="shared" si="1"/>
        <v/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</row>
    <row r="478" ht="15.75" customHeight="1">
      <c r="A478" s="12" t="str">
        <f t="shared" si="1"/>
        <v/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</row>
    <row r="479" ht="15.75" customHeight="1">
      <c r="A479" s="12" t="str">
        <f t="shared" si="1"/>
        <v/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</row>
    <row r="480" ht="15.75" customHeight="1">
      <c r="A480" s="12" t="str">
        <f t="shared" si="1"/>
        <v/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</row>
    <row r="481" ht="15.75" customHeight="1">
      <c r="A481" s="12" t="str">
        <f t="shared" si="1"/>
        <v/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</row>
    <row r="482" ht="15.75" customHeight="1">
      <c r="A482" s="12" t="str">
        <f t="shared" si="1"/>
        <v/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</row>
    <row r="483" ht="15.75" customHeight="1">
      <c r="A483" s="12" t="str">
        <f t="shared" si="1"/>
        <v/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</row>
    <row r="484" ht="15.75" customHeight="1">
      <c r="A484" s="12" t="str">
        <f t="shared" si="1"/>
        <v/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</row>
    <row r="485" ht="15.75" customHeight="1">
      <c r="A485" s="12" t="str">
        <f t="shared" si="1"/>
        <v/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</row>
    <row r="486" ht="15.75" customHeight="1">
      <c r="A486" s="12" t="str">
        <f t="shared" si="1"/>
        <v/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</row>
    <row r="487" ht="15.75" customHeight="1">
      <c r="A487" s="12" t="str">
        <f t="shared" si="1"/>
        <v/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</row>
    <row r="488" ht="15.75" customHeight="1">
      <c r="A488" s="12" t="str">
        <f t="shared" si="1"/>
        <v/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</row>
    <row r="489" ht="15.75" customHeight="1">
      <c r="A489" s="12" t="str">
        <f t="shared" si="1"/>
        <v/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</row>
    <row r="490" ht="15.75" customHeight="1">
      <c r="A490" s="12" t="str">
        <f t="shared" si="1"/>
        <v/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</row>
    <row r="491" ht="15.75" customHeight="1">
      <c r="A491" s="12" t="str">
        <f t="shared" si="1"/>
        <v/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</row>
    <row r="492" ht="15.75" customHeight="1">
      <c r="A492" s="12" t="str">
        <f t="shared" si="1"/>
        <v/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</row>
    <row r="493" ht="15.75" customHeight="1">
      <c r="A493" s="12" t="str">
        <f t="shared" si="1"/>
        <v/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</row>
    <row r="494" ht="15.75" customHeight="1">
      <c r="A494" s="12" t="str">
        <f t="shared" si="1"/>
        <v/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</row>
    <row r="495" ht="15.75" customHeight="1">
      <c r="A495" s="12" t="str">
        <f t="shared" si="1"/>
        <v/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</row>
    <row r="496" ht="15.75" customHeight="1">
      <c r="A496" s="12" t="str">
        <f t="shared" si="1"/>
        <v/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</row>
    <row r="497" ht="15.75" customHeight="1">
      <c r="A497" s="12" t="str">
        <f t="shared" si="1"/>
        <v/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</row>
    <row r="498" ht="15.75" customHeight="1">
      <c r="A498" s="12" t="str">
        <f t="shared" si="1"/>
        <v/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</row>
    <row r="499" ht="15.75" customHeight="1">
      <c r="A499" s="12" t="str">
        <f t="shared" si="1"/>
        <v/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</row>
    <row r="500" ht="15.75" customHeight="1">
      <c r="A500" s="12" t="str">
        <f t="shared" si="1"/>
        <v/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</row>
    <row r="501" ht="15.75" customHeight="1">
      <c r="A501" s="12" t="str">
        <f t="shared" si="1"/>
        <v/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</row>
    <row r="502" ht="15.75" customHeight="1">
      <c r="A502" s="12" t="str">
        <f t="shared" si="1"/>
        <v/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</row>
    <row r="503" ht="15.75" customHeight="1">
      <c r="A503" s="12" t="str">
        <f t="shared" si="1"/>
        <v/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</row>
    <row r="504" ht="15.75" customHeight="1">
      <c r="A504" s="12" t="str">
        <f t="shared" si="1"/>
        <v/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</row>
    <row r="505" ht="15.75" customHeight="1">
      <c r="A505" s="12" t="str">
        <f t="shared" si="1"/>
        <v/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</row>
    <row r="506" ht="15.75" customHeight="1">
      <c r="A506" s="12" t="str">
        <f t="shared" si="1"/>
        <v/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</row>
    <row r="507" ht="15.75" customHeight="1">
      <c r="A507" s="12" t="str">
        <f t="shared" si="1"/>
        <v/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</row>
    <row r="508" ht="15.75" customHeight="1">
      <c r="A508" s="12" t="str">
        <f t="shared" si="1"/>
        <v/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</row>
    <row r="509" ht="15.75" customHeight="1">
      <c r="A509" s="12" t="str">
        <f t="shared" si="1"/>
        <v/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</row>
    <row r="510" ht="15.75" customHeight="1">
      <c r="A510" s="12" t="str">
        <f t="shared" si="1"/>
        <v/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</row>
    <row r="511" ht="15.75" customHeight="1">
      <c r="A511" s="12" t="str">
        <f t="shared" si="1"/>
        <v/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</row>
    <row r="512" ht="15.75" customHeight="1">
      <c r="A512" s="12" t="str">
        <f t="shared" si="1"/>
        <v/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</row>
    <row r="513" ht="15.75" customHeight="1">
      <c r="A513" s="12" t="str">
        <f t="shared" si="1"/>
        <v/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</row>
    <row r="514" ht="15.75" customHeight="1">
      <c r="A514" s="12" t="str">
        <f t="shared" si="1"/>
        <v/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</row>
    <row r="515" ht="15.75" customHeight="1">
      <c r="A515" s="12" t="str">
        <f t="shared" si="1"/>
        <v/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</row>
    <row r="516" ht="15.75" customHeight="1">
      <c r="A516" s="12" t="str">
        <f t="shared" si="1"/>
        <v/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</row>
    <row r="517" ht="15.75" customHeight="1">
      <c r="A517" s="12" t="str">
        <f t="shared" si="1"/>
        <v/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</row>
    <row r="518" ht="15.75" customHeight="1">
      <c r="A518" s="12" t="str">
        <f t="shared" si="1"/>
        <v/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</row>
    <row r="519" ht="15.75" customHeight="1">
      <c r="A519" s="12" t="str">
        <f t="shared" si="1"/>
        <v/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</row>
    <row r="520" ht="15.75" customHeight="1">
      <c r="A520" s="12" t="str">
        <f t="shared" si="1"/>
        <v/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</row>
    <row r="521" ht="15.75" customHeight="1">
      <c r="A521" s="12" t="str">
        <f t="shared" si="1"/>
        <v/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</row>
    <row r="522" ht="15.75" customHeight="1">
      <c r="A522" s="12" t="str">
        <f t="shared" si="1"/>
        <v/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</row>
    <row r="523" ht="15.75" customHeight="1">
      <c r="A523" s="12" t="str">
        <f t="shared" si="1"/>
        <v/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</row>
    <row r="524" ht="15.75" customHeight="1">
      <c r="A524" s="12" t="str">
        <f t="shared" si="1"/>
        <v/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</row>
    <row r="525" ht="15.75" customHeight="1">
      <c r="A525" s="12" t="str">
        <f t="shared" si="1"/>
        <v/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</row>
    <row r="526" ht="15.75" customHeight="1">
      <c r="A526" s="12" t="str">
        <f t="shared" si="1"/>
        <v/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</row>
    <row r="527" ht="15.75" customHeight="1">
      <c r="A527" s="12" t="str">
        <f t="shared" si="1"/>
        <v/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</row>
    <row r="528" ht="15.75" customHeight="1">
      <c r="A528" s="12" t="str">
        <f t="shared" si="1"/>
        <v/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</row>
    <row r="529" ht="15.75" customHeight="1">
      <c r="A529" s="12" t="str">
        <f t="shared" si="1"/>
        <v/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</row>
    <row r="530" ht="15.75" customHeight="1">
      <c r="A530" s="12" t="str">
        <f t="shared" si="1"/>
        <v/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</row>
    <row r="531" ht="15.75" customHeight="1">
      <c r="A531" s="12" t="str">
        <f t="shared" si="1"/>
        <v/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</row>
    <row r="532" ht="15.75" customHeight="1">
      <c r="A532" s="12" t="str">
        <f t="shared" si="1"/>
        <v/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</row>
    <row r="533" ht="15.75" customHeight="1">
      <c r="A533" s="12" t="str">
        <f t="shared" si="1"/>
        <v/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</row>
    <row r="534" ht="15.75" customHeight="1">
      <c r="A534" s="12" t="str">
        <f t="shared" si="1"/>
        <v/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</row>
    <row r="535" ht="15.75" customHeight="1">
      <c r="A535" s="12" t="str">
        <f t="shared" si="1"/>
        <v/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</row>
    <row r="536" ht="15.75" customHeight="1">
      <c r="A536" s="12" t="str">
        <f t="shared" si="1"/>
        <v/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</row>
    <row r="537" ht="15.75" customHeight="1">
      <c r="A537" s="12" t="str">
        <f t="shared" si="1"/>
        <v/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</row>
    <row r="538" ht="15.75" customHeight="1">
      <c r="A538" s="12" t="str">
        <f t="shared" si="1"/>
        <v/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</row>
    <row r="539" ht="15.75" customHeight="1">
      <c r="A539" s="12" t="str">
        <f t="shared" si="1"/>
        <v/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</row>
    <row r="540" ht="15.75" customHeight="1">
      <c r="A540" s="12" t="str">
        <f t="shared" si="1"/>
        <v/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</row>
    <row r="541" ht="15.75" customHeight="1">
      <c r="A541" s="12" t="str">
        <f t="shared" si="1"/>
        <v/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</row>
    <row r="542" ht="15.75" customHeight="1">
      <c r="A542" s="12" t="str">
        <f t="shared" si="1"/>
        <v/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</row>
    <row r="543" ht="15.75" customHeight="1">
      <c r="A543" s="12" t="str">
        <f t="shared" si="1"/>
        <v/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</row>
    <row r="544" ht="15.75" customHeight="1">
      <c r="A544" s="12" t="str">
        <f t="shared" si="1"/>
        <v/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</row>
    <row r="545" ht="15.75" customHeight="1">
      <c r="A545" s="12" t="str">
        <f t="shared" si="1"/>
        <v/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</row>
    <row r="546" ht="15.75" customHeight="1">
      <c r="A546" s="12" t="str">
        <f t="shared" si="1"/>
        <v/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</row>
    <row r="547" ht="15.75" customHeight="1">
      <c r="A547" s="12" t="str">
        <f t="shared" si="1"/>
        <v/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</row>
    <row r="548" ht="15.75" customHeight="1">
      <c r="A548" s="12" t="str">
        <f t="shared" si="1"/>
        <v/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</row>
    <row r="549" ht="15.75" customHeight="1">
      <c r="A549" s="12" t="str">
        <f t="shared" si="1"/>
        <v/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</row>
    <row r="550" ht="15.75" customHeight="1">
      <c r="A550" s="12" t="str">
        <f t="shared" si="1"/>
        <v/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</row>
    <row r="551" ht="15.75" customHeight="1">
      <c r="A551" s="12" t="str">
        <f t="shared" si="1"/>
        <v/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</row>
    <row r="552" ht="15.75" customHeight="1">
      <c r="A552" s="12" t="str">
        <f t="shared" si="1"/>
        <v/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</row>
    <row r="553" ht="15.75" customHeight="1">
      <c r="A553" s="12" t="str">
        <f t="shared" si="1"/>
        <v/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</row>
    <row r="554" ht="15.75" customHeight="1">
      <c r="A554" s="12" t="str">
        <f t="shared" si="1"/>
        <v/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</row>
    <row r="555" ht="15.75" customHeight="1">
      <c r="A555" s="12" t="str">
        <f t="shared" si="1"/>
        <v/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</row>
    <row r="556" ht="15.75" customHeight="1">
      <c r="A556" s="12" t="str">
        <f t="shared" si="1"/>
        <v/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</row>
    <row r="557" ht="15.75" customHeight="1">
      <c r="A557" s="12" t="str">
        <f t="shared" si="1"/>
        <v/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</row>
    <row r="558" ht="15.75" customHeight="1">
      <c r="A558" s="12" t="str">
        <f t="shared" si="1"/>
        <v/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</row>
    <row r="559" ht="15.75" customHeight="1">
      <c r="A559" s="12" t="str">
        <f t="shared" si="1"/>
        <v/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</row>
    <row r="560" ht="15.75" customHeight="1">
      <c r="A560" s="12" t="str">
        <f t="shared" si="1"/>
        <v/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</row>
    <row r="561" ht="15.75" customHeight="1">
      <c r="A561" s="12" t="str">
        <f t="shared" si="1"/>
        <v/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</row>
    <row r="562" ht="15.75" customHeight="1">
      <c r="A562" s="12" t="str">
        <f t="shared" si="1"/>
        <v/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</row>
    <row r="563" ht="15.75" customHeight="1">
      <c r="A563" s="12" t="str">
        <f t="shared" si="1"/>
        <v/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</row>
    <row r="564" ht="15.75" customHeight="1">
      <c r="A564" s="12" t="str">
        <f t="shared" si="1"/>
        <v/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</row>
    <row r="565" ht="15.75" customHeight="1">
      <c r="A565" s="12" t="str">
        <f t="shared" si="1"/>
        <v/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</row>
    <row r="566" ht="15.75" customHeight="1">
      <c r="A566" s="12" t="str">
        <f t="shared" si="1"/>
        <v/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</row>
    <row r="567" ht="15.75" customHeight="1">
      <c r="A567" s="12" t="str">
        <f t="shared" si="1"/>
        <v/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</row>
    <row r="568" ht="15.75" customHeight="1">
      <c r="A568" s="12" t="str">
        <f t="shared" si="1"/>
        <v/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</row>
    <row r="569" ht="15.75" customHeight="1">
      <c r="A569" s="12" t="str">
        <f t="shared" si="1"/>
        <v/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</row>
    <row r="570" ht="15.75" customHeight="1">
      <c r="A570" s="12" t="str">
        <f t="shared" si="1"/>
        <v/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</row>
    <row r="571" ht="15.75" customHeight="1">
      <c r="A571" s="12" t="str">
        <f t="shared" si="1"/>
        <v/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</row>
    <row r="572" ht="15.75" customHeight="1">
      <c r="A572" s="12" t="str">
        <f t="shared" si="1"/>
        <v/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</row>
    <row r="573" ht="15.75" customHeight="1">
      <c r="A573" s="12" t="str">
        <f t="shared" si="1"/>
        <v/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</row>
    <row r="574" ht="15.75" customHeight="1">
      <c r="A574" s="12" t="str">
        <f t="shared" si="1"/>
        <v/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</row>
    <row r="575" ht="15.75" customHeight="1">
      <c r="A575" s="12" t="str">
        <f t="shared" si="1"/>
        <v/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</row>
    <row r="576" ht="15.75" customHeight="1">
      <c r="A576" s="12" t="str">
        <f t="shared" si="1"/>
        <v/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</row>
    <row r="577" ht="15.75" customHeight="1">
      <c r="A577" s="12" t="str">
        <f t="shared" si="1"/>
        <v/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</row>
    <row r="578" ht="15.75" customHeight="1">
      <c r="A578" s="12" t="str">
        <f t="shared" si="1"/>
        <v/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</row>
    <row r="579" ht="15.75" customHeight="1">
      <c r="A579" s="12" t="str">
        <f t="shared" si="1"/>
        <v/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</row>
    <row r="580" ht="15.75" customHeight="1">
      <c r="A580" s="12" t="str">
        <f t="shared" si="1"/>
        <v/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</row>
    <row r="581" ht="15.75" customHeight="1">
      <c r="A581" s="12" t="str">
        <f t="shared" si="1"/>
        <v/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</row>
    <row r="582" ht="15.75" customHeight="1">
      <c r="A582" s="12" t="str">
        <f t="shared" si="1"/>
        <v/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</row>
    <row r="583" ht="15.75" customHeight="1">
      <c r="A583" s="12" t="str">
        <f t="shared" si="1"/>
        <v/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</row>
    <row r="584" ht="15.75" customHeight="1">
      <c r="A584" s="12" t="str">
        <f t="shared" si="1"/>
        <v/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</row>
    <row r="585" ht="15.75" customHeight="1">
      <c r="A585" s="12" t="str">
        <f t="shared" si="1"/>
        <v/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</row>
    <row r="586" ht="15.75" customHeight="1">
      <c r="A586" s="12" t="str">
        <f t="shared" si="1"/>
        <v/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</row>
    <row r="587" ht="15.75" customHeight="1">
      <c r="A587" s="12" t="str">
        <f t="shared" si="1"/>
        <v/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</row>
    <row r="588" ht="15.75" customHeight="1">
      <c r="A588" s="12" t="str">
        <f t="shared" si="1"/>
        <v/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</row>
    <row r="589" ht="15.75" customHeight="1">
      <c r="A589" s="12" t="str">
        <f t="shared" si="1"/>
        <v/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</row>
    <row r="590" ht="15.75" customHeight="1">
      <c r="A590" s="12" t="str">
        <f t="shared" si="1"/>
        <v/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</row>
    <row r="591" ht="15.75" customHeight="1">
      <c r="A591" s="12" t="str">
        <f t="shared" si="1"/>
        <v/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</row>
    <row r="592" ht="15.75" customHeight="1">
      <c r="A592" s="12" t="str">
        <f t="shared" si="1"/>
        <v/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</row>
    <row r="593" ht="15.75" customHeight="1">
      <c r="A593" s="12" t="str">
        <f t="shared" si="1"/>
        <v/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</row>
    <row r="594" ht="15.75" customHeight="1">
      <c r="A594" s="12" t="str">
        <f t="shared" si="1"/>
        <v/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</row>
    <row r="595" ht="15.75" customHeight="1">
      <c r="A595" s="12" t="str">
        <f t="shared" si="1"/>
        <v/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</row>
    <row r="596" ht="15.75" customHeight="1">
      <c r="A596" s="12" t="str">
        <f t="shared" si="1"/>
        <v/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</row>
    <row r="597" ht="15.75" customHeight="1">
      <c r="A597" s="12" t="str">
        <f t="shared" si="1"/>
        <v/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</row>
    <row r="598" ht="15.75" customHeight="1">
      <c r="A598" s="12" t="str">
        <f t="shared" si="1"/>
        <v/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</row>
    <row r="599" ht="15.75" customHeight="1">
      <c r="A599" s="12" t="str">
        <f t="shared" si="1"/>
        <v/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</row>
    <row r="600" ht="15.75" customHeight="1">
      <c r="A600" s="12" t="str">
        <f t="shared" si="1"/>
        <v/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</row>
    <row r="601" ht="15.75" customHeight="1">
      <c r="A601" s="12" t="str">
        <f t="shared" si="1"/>
        <v/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</row>
    <row r="602" ht="15.75" customHeight="1">
      <c r="A602" s="12" t="str">
        <f t="shared" si="1"/>
        <v/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</row>
    <row r="603" ht="15.75" customHeight="1">
      <c r="A603" s="12" t="str">
        <f t="shared" si="1"/>
        <v/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</row>
    <row r="604" ht="15.75" customHeight="1">
      <c r="A604" s="12" t="str">
        <f t="shared" si="1"/>
        <v/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</row>
    <row r="605" ht="15.75" customHeight="1">
      <c r="A605" s="12" t="str">
        <f t="shared" si="1"/>
        <v/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</row>
    <row r="606" ht="15.75" customHeight="1">
      <c r="A606" s="12" t="str">
        <f t="shared" si="1"/>
        <v/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</row>
    <row r="607" ht="15.75" customHeight="1">
      <c r="A607" s="12" t="str">
        <f t="shared" si="1"/>
        <v/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</row>
    <row r="608" ht="15.75" customHeight="1">
      <c r="A608" s="12" t="str">
        <f t="shared" si="1"/>
        <v/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</row>
    <row r="609" ht="15.75" customHeight="1">
      <c r="A609" s="12" t="str">
        <f t="shared" si="1"/>
        <v/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</row>
    <row r="610" ht="15.75" customHeight="1">
      <c r="A610" s="12" t="str">
        <f t="shared" si="1"/>
        <v/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</row>
    <row r="611" ht="15.75" customHeight="1">
      <c r="A611" s="12" t="str">
        <f t="shared" si="1"/>
        <v/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</row>
    <row r="612" ht="15.75" customHeight="1">
      <c r="A612" s="12" t="str">
        <f t="shared" si="1"/>
        <v/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</row>
    <row r="613" ht="15.75" customHeight="1">
      <c r="A613" s="12" t="str">
        <f t="shared" si="1"/>
        <v/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</row>
    <row r="614" ht="15.75" customHeight="1">
      <c r="A614" s="12" t="str">
        <f t="shared" si="1"/>
        <v/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</row>
    <row r="615" ht="15.75" customHeight="1">
      <c r="A615" s="12" t="str">
        <f t="shared" si="1"/>
        <v/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</row>
    <row r="616" ht="15.75" customHeight="1">
      <c r="A616" s="12" t="str">
        <f t="shared" si="1"/>
        <v/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</row>
    <row r="617" ht="15.75" customHeight="1">
      <c r="A617" s="12" t="str">
        <f t="shared" si="1"/>
        <v/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</row>
    <row r="618" ht="15.75" customHeight="1">
      <c r="A618" s="12" t="str">
        <f t="shared" si="1"/>
        <v/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</row>
    <row r="619" ht="15.75" customHeight="1">
      <c r="A619" s="12" t="str">
        <f t="shared" si="1"/>
        <v/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</row>
    <row r="620" ht="15.75" customHeight="1">
      <c r="A620" s="12" t="str">
        <f t="shared" si="1"/>
        <v/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</row>
    <row r="621" ht="15.75" customHeight="1">
      <c r="A621" s="12" t="str">
        <f t="shared" si="1"/>
        <v/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</row>
    <row r="622" ht="15.75" customHeight="1">
      <c r="A622" s="12" t="str">
        <f t="shared" si="1"/>
        <v/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</row>
    <row r="623" ht="15.75" customHeight="1">
      <c r="A623" s="12" t="str">
        <f t="shared" si="1"/>
        <v/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</row>
    <row r="624" ht="15.75" customHeight="1">
      <c r="A624" s="12" t="str">
        <f t="shared" si="1"/>
        <v/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</row>
    <row r="625" ht="15.75" customHeight="1">
      <c r="A625" s="12" t="str">
        <f t="shared" si="1"/>
        <v/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</row>
    <row r="626" ht="15.75" customHeight="1">
      <c r="A626" s="12" t="str">
        <f t="shared" si="1"/>
        <v/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</row>
    <row r="627" ht="15.75" customHeight="1">
      <c r="A627" s="12" t="str">
        <f t="shared" si="1"/>
        <v/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</row>
    <row r="628" ht="15.75" customHeight="1">
      <c r="A628" s="12" t="str">
        <f t="shared" si="1"/>
        <v/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</row>
    <row r="629" ht="15.75" customHeight="1">
      <c r="A629" s="12" t="str">
        <f t="shared" si="1"/>
        <v/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</row>
    <row r="630" ht="15.75" customHeight="1">
      <c r="A630" s="12" t="str">
        <f t="shared" si="1"/>
        <v/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</row>
    <row r="631" ht="15.75" customHeight="1">
      <c r="A631" s="12" t="str">
        <f t="shared" si="1"/>
        <v/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</row>
    <row r="632" ht="15.75" customHeight="1">
      <c r="A632" s="12" t="str">
        <f t="shared" si="1"/>
        <v/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</row>
    <row r="633" ht="15.75" customHeight="1">
      <c r="A633" s="12" t="str">
        <f t="shared" si="1"/>
        <v/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</row>
    <row r="634" ht="15.75" customHeight="1">
      <c r="A634" s="12" t="str">
        <f t="shared" si="1"/>
        <v/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</row>
    <row r="635" ht="15.75" customHeight="1">
      <c r="A635" s="12" t="str">
        <f t="shared" si="1"/>
        <v/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</row>
    <row r="636" ht="15.75" customHeight="1">
      <c r="A636" s="12" t="str">
        <f t="shared" si="1"/>
        <v/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</row>
    <row r="637" ht="15.75" customHeight="1">
      <c r="A637" s="12" t="str">
        <f t="shared" si="1"/>
        <v/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</row>
    <row r="638" ht="15.75" customHeight="1">
      <c r="A638" s="12" t="str">
        <f t="shared" si="1"/>
        <v/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</row>
    <row r="639" ht="15.75" customHeight="1">
      <c r="A639" s="12" t="str">
        <f t="shared" si="1"/>
        <v/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</row>
    <row r="640" ht="15.75" customHeight="1">
      <c r="A640" s="12" t="str">
        <f t="shared" si="1"/>
        <v/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</row>
    <row r="641" ht="15.75" customHeight="1">
      <c r="A641" s="12" t="str">
        <f t="shared" si="1"/>
        <v/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</row>
    <row r="642" ht="15.75" customHeight="1">
      <c r="A642" s="12" t="str">
        <f t="shared" si="1"/>
        <v/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</row>
    <row r="643" ht="15.75" customHeight="1">
      <c r="A643" s="12" t="str">
        <f t="shared" si="1"/>
        <v/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</row>
    <row r="644" ht="15.75" customHeight="1">
      <c r="A644" s="12" t="str">
        <f t="shared" si="1"/>
        <v/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</row>
    <row r="645" ht="15.75" customHeight="1">
      <c r="A645" s="12" t="str">
        <f t="shared" si="1"/>
        <v/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</row>
    <row r="646" ht="15.75" customHeight="1">
      <c r="A646" s="12" t="str">
        <f t="shared" si="1"/>
        <v/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</row>
    <row r="647" ht="15.75" customHeight="1">
      <c r="A647" s="12" t="str">
        <f t="shared" si="1"/>
        <v/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</row>
    <row r="648" ht="15.75" customHeight="1">
      <c r="A648" s="12" t="str">
        <f t="shared" si="1"/>
        <v/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</row>
    <row r="649" ht="15.75" customHeight="1">
      <c r="A649" s="12" t="str">
        <f t="shared" si="1"/>
        <v/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</row>
    <row r="650" ht="15.75" customHeight="1">
      <c r="A650" s="12" t="str">
        <f t="shared" si="1"/>
        <v/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</row>
    <row r="651" ht="15.75" customHeight="1">
      <c r="A651" s="12" t="str">
        <f t="shared" si="1"/>
        <v/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</row>
    <row r="652" ht="15.75" customHeight="1">
      <c r="A652" s="12" t="str">
        <f t="shared" si="1"/>
        <v/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</row>
    <row r="653" ht="15.75" customHeight="1">
      <c r="A653" s="12" t="str">
        <f t="shared" si="1"/>
        <v/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</row>
    <row r="654" ht="15.75" customHeight="1">
      <c r="A654" s="12" t="str">
        <f t="shared" si="1"/>
        <v/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</row>
    <row r="655" ht="15.75" customHeight="1">
      <c r="A655" s="12" t="str">
        <f t="shared" si="1"/>
        <v/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</row>
    <row r="656" ht="15.75" customHeight="1">
      <c r="A656" s="12" t="str">
        <f t="shared" si="1"/>
        <v/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</row>
    <row r="657" ht="15.75" customHeight="1">
      <c r="A657" s="12" t="str">
        <f t="shared" si="1"/>
        <v/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</row>
    <row r="658" ht="15.75" customHeight="1">
      <c r="A658" s="12" t="str">
        <f t="shared" si="1"/>
        <v/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</row>
    <row r="659" ht="15.75" customHeight="1">
      <c r="A659" s="12" t="str">
        <f t="shared" si="1"/>
        <v/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</row>
    <row r="660" ht="15.75" customHeight="1">
      <c r="A660" s="12" t="str">
        <f t="shared" si="1"/>
        <v/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</row>
    <row r="661" ht="15.75" customHeight="1">
      <c r="A661" s="12" t="str">
        <f t="shared" si="1"/>
        <v/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</row>
    <row r="662" ht="15.75" customHeight="1">
      <c r="A662" s="12" t="str">
        <f t="shared" si="1"/>
        <v/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</row>
    <row r="663" ht="15.75" customHeight="1">
      <c r="A663" s="12" t="str">
        <f t="shared" si="1"/>
        <v/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</row>
    <row r="664" ht="15.75" customHeight="1">
      <c r="A664" s="12" t="str">
        <f t="shared" si="1"/>
        <v/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</row>
    <row r="665" ht="15.75" customHeight="1">
      <c r="A665" s="12" t="str">
        <f t="shared" si="1"/>
        <v/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</row>
    <row r="666" ht="15.75" customHeight="1">
      <c r="A666" s="12" t="str">
        <f t="shared" si="1"/>
        <v/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</row>
    <row r="667" ht="15.75" customHeight="1">
      <c r="A667" s="12" t="str">
        <f t="shared" si="1"/>
        <v/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</row>
    <row r="668" ht="15.75" customHeight="1">
      <c r="A668" s="12" t="str">
        <f t="shared" si="1"/>
        <v/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</row>
    <row r="669" ht="15.75" customHeight="1">
      <c r="A669" s="12" t="str">
        <f t="shared" si="1"/>
        <v/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</row>
    <row r="670" ht="15.75" customHeight="1">
      <c r="A670" s="12" t="str">
        <f t="shared" si="1"/>
        <v/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</row>
    <row r="671" ht="15.75" customHeight="1">
      <c r="A671" s="12" t="str">
        <f t="shared" si="1"/>
        <v/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</row>
    <row r="672" ht="15.75" customHeight="1">
      <c r="A672" s="12" t="str">
        <f t="shared" si="1"/>
        <v/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</row>
    <row r="673" ht="15.75" customHeight="1">
      <c r="A673" s="12" t="str">
        <f t="shared" si="1"/>
        <v/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</row>
    <row r="674" ht="15.75" customHeight="1">
      <c r="A674" s="12" t="str">
        <f t="shared" si="1"/>
        <v/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</row>
    <row r="675" ht="15.75" customHeight="1">
      <c r="A675" s="12" t="str">
        <f t="shared" si="1"/>
        <v/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</row>
    <row r="676" ht="15.75" customHeight="1">
      <c r="A676" s="12" t="str">
        <f t="shared" si="1"/>
        <v/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</row>
    <row r="677" ht="15.75" customHeight="1">
      <c r="A677" s="12" t="str">
        <f t="shared" si="1"/>
        <v/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</row>
    <row r="678" ht="15.75" customHeight="1">
      <c r="A678" s="12" t="str">
        <f t="shared" si="1"/>
        <v/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</row>
    <row r="679" ht="15.75" customHeight="1">
      <c r="A679" s="12" t="str">
        <f t="shared" si="1"/>
        <v/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</row>
    <row r="680" ht="15.75" customHeight="1">
      <c r="A680" s="12" t="str">
        <f t="shared" si="1"/>
        <v/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</row>
    <row r="681" ht="15.75" customHeight="1">
      <c r="A681" s="12" t="str">
        <f t="shared" si="1"/>
        <v/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</row>
    <row r="682" ht="15.75" customHeight="1">
      <c r="A682" s="12" t="str">
        <f t="shared" si="1"/>
        <v/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</row>
    <row r="683" ht="15.75" customHeight="1">
      <c r="A683" s="12" t="str">
        <f t="shared" si="1"/>
        <v/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</row>
    <row r="684" ht="15.75" customHeight="1">
      <c r="A684" s="12" t="str">
        <f t="shared" si="1"/>
        <v/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</row>
    <row r="685" ht="15.75" customHeight="1">
      <c r="A685" s="12" t="str">
        <f t="shared" si="1"/>
        <v/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</row>
    <row r="686" ht="15.75" customHeight="1">
      <c r="A686" s="12" t="str">
        <f t="shared" si="1"/>
        <v/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</row>
    <row r="687" ht="15.75" customHeight="1">
      <c r="A687" s="12" t="str">
        <f t="shared" si="1"/>
        <v/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</row>
    <row r="688" ht="15.75" customHeight="1">
      <c r="A688" s="12" t="str">
        <f t="shared" si="1"/>
        <v/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</row>
    <row r="689" ht="15.75" customHeight="1">
      <c r="A689" s="12" t="str">
        <f t="shared" si="1"/>
        <v/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</row>
    <row r="690" ht="15.75" customHeight="1">
      <c r="A690" s="12" t="str">
        <f t="shared" si="1"/>
        <v/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</row>
    <row r="691" ht="15.75" customHeight="1">
      <c r="A691" s="12" t="str">
        <f t="shared" si="1"/>
        <v/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</row>
    <row r="692" ht="15.75" customHeight="1">
      <c r="A692" s="12" t="str">
        <f t="shared" si="1"/>
        <v/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</row>
    <row r="693" ht="15.75" customHeight="1">
      <c r="A693" s="12" t="str">
        <f t="shared" si="1"/>
        <v/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</row>
    <row r="694" ht="15.75" customHeight="1">
      <c r="A694" s="12" t="str">
        <f t="shared" si="1"/>
        <v/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</row>
    <row r="695" ht="15.75" customHeight="1">
      <c r="A695" s="12" t="str">
        <f t="shared" si="1"/>
        <v/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</row>
    <row r="696" ht="15.75" customHeight="1">
      <c r="A696" s="12" t="str">
        <f t="shared" si="1"/>
        <v/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</row>
    <row r="697" ht="15.75" customHeight="1">
      <c r="A697" s="12" t="str">
        <f t="shared" si="1"/>
        <v/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</row>
    <row r="698" ht="15.75" customHeight="1">
      <c r="A698" s="12" t="str">
        <f t="shared" si="1"/>
        <v/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</row>
    <row r="699" ht="15.75" customHeight="1">
      <c r="A699" s="12" t="str">
        <f t="shared" si="1"/>
        <v/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</row>
    <row r="700" ht="15.75" customHeight="1">
      <c r="A700" s="12" t="str">
        <f t="shared" si="1"/>
        <v/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</row>
    <row r="701" ht="15.75" customHeight="1">
      <c r="A701" s="12" t="str">
        <f t="shared" si="1"/>
        <v/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</row>
    <row r="702" ht="15.75" customHeight="1">
      <c r="A702" s="12" t="str">
        <f t="shared" si="1"/>
        <v/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</row>
    <row r="703" ht="15.75" customHeight="1">
      <c r="A703" s="12" t="str">
        <f t="shared" si="1"/>
        <v/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</row>
    <row r="704" ht="15.75" customHeight="1">
      <c r="A704" s="12" t="str">
        <f t="shared" si="1"/>
        <v/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</row>
    <row r="705" ht="15.75" customHeight="1">
      <c r="A705" s="12" t="str">
        <f t="shared" si="1"/>
        <v/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</row>
    <row r="706" ht="15.75" customHeight="1">
      <c r="A706" s="12" t="str">
        <f t="shared" si="1"/>
        <v/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</row>
    <row r="707" ht="15.75" customHeight="1">
      <c r="A707" s="12" t="str">
        <f t="shared" si="1"/>
        <v/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</row>
    <row r="708" ht="15.75" customHeight="1">
      <c r="A708" s="12" t="str">
        <f t="shared" si="1"/>
        <v/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/>
    </row>
    <row r="709" ht="15.75" customHeight="1">
      <c r="A709" s="12" t="str">
        <f t="shared" si="1"/>
        <v/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</row>
    <row r="710" ht="15.75" customHeight="1">
      <c r="A710" s="12" t="str">
        <f t="shared" si="1"/>
        <v/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</row>
    <row r="711" ht="15.75" customHeight="1">
      <c r="A711" s="12" t="str">
        <f t="shared" si="1"/>
        <v/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</row>
    <row r="712" ht="15.75" customHeight="1">
      <c r="A712" s="12" t="str">
        <f t="shared" si="1"/>
        <v/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</row>
    <row r="713" ht="15.75" customHeight="1">
      <c r="A713" s="12" t="str">
        <f t="shared" si="1"/>
        <v/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</row>
    <row r="714" ht="15.75" customHeight="1">
      <c r="A714" s="12" t="str">
        <f t="shared" si="1"/>
        <v/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</row>
    <row r="715" ht="15.75" customHeight="1">
      <c r="A715" s="12" t="str">
        <f t="shared" si="1"/>
        <v/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</row>
    <row r="716" ht="15.75" customHeight="1">
      <c r="A716" s="12" t="str">
        <f t="shared" si="1"/>
        <v/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/>
    </row>
    <row r="717" ht="15.75" customHeight="1">
      <c r="A717" s="12" t="str">
        <f t="shared" si="1"/>
        <v/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</row>
    <row r="718" ht="15.75" customHeight="1">
      <c r="A718" s="12" t="str">
        <f t="shared" si="1"/>
        <v/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</row>
    <row r="719" ht="15.75" customHeight="1">
      <c r="A719" s="12" t="str">
        <f t="shared" si="1"/>
        <v/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</row>
    <row r="720" ht="15.75" customHeight="1">
      <c r="A720" s="12" t="str">
        <f t="shared" si="1"/>
        <v/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</row>
    <row r="721" ht="15.75" customHeight="1">
      <c r="A721" s="12" t="str">
        <f t="shared" si="1"/>
        <v/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</row>
    <row r="722" ht="15.75" customHeight="1">
      <c r="A722" s="12" t="str">
        <f t="shared" si="1"/>
        <v/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</row>
    <row r="723" ht="15.75" customHeight="1">
      <c r="A723" s="12" t="str">
        <f t="shared" si="1"/>
        <v/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</row>
    <row r="724" ht="15.75" customHeight="1">
      <c r="A724" s="12" t="str">
        <f t="shared" si="1"/>
        <v/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</row>
    <row r="725" ht="15.75" customHeight="1">
      <c r="A725" s="12" t="str">
        <f t="shared" si="1"/>
        <v/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</row>
    <row r="726" ht="15.75" customHeight="1">
      <c r="A726" s="12" t="str">
        <f t="shared" si="1"/>
        <v/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</row>
    <row r="727" ht="15.75" customHeight="1">
      <c r="A727" s="12" t="str">
        <f t="shared" si="1"/>
        <v/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</row>
    <row r="728" ht="15.75" customHeight="1">
      <c r="A728" s="12" t="str">
        <f t="shared" si="1"/>
        <v/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</row>
    <row r="729" ht="15.75" customHeight="1">
      <c r="A729" s="12" t="str">
        <f t="shared" si="1"/>
        <v/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</row>
    <row r="730" ht="15.75" customHeight="1">
      <c r="A730" s="12" t="str">
        <f t="shared" si="1"/>
        <v/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</row>
    <row r="731" ht="15.75" customHeight="1">
      <c r="A731" s="12" t="str">
        <f t="shared" si="1"/>
        <v/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</row>
    <row r="732" ht="15.75" customHeight="1">
      <c r="A732" s="12" t="str">
        <f t="shared" si="1"/>
        <v/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</row>
    <row r="733" ht="15.75" customHeight="1">
      <c r="A733" s="12" t="str">
        <f t="shared" si="1"/>
        <v/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</row>
    <row r="734" ht="15.75" customHeight="1">
      <c r="A734" s="12" t="str">
        <f t="shared" si="1"/>
        <v/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</row>
    <row r="735" ht="15.75" customHeight="1">
      <c r="A735" s="12" t="str">
        <f t="shared" si="1"/>
        <v/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</row>
    <row r="736" ht="15.75" customHeight="1">
      <c r="A736" s="12" t="str">
        <f t="shared" si="1"/>
        <v/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</row>
    <row r="737" ht="15.75" customHeight="1">
      <c r="A737" s="12" t="str">
        <f t="shared" si="1"/>
        <v/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</row>
    <row r="738" ht="15.75" customHeight="1">
      <c r="A738" s="12" t="str">
        <f t="shared" si="1"/>
        <v/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/>
    </row>
    <row r="739" ht="15.75" customHeight="1">
      <c r="A739" s="12" t="str">
        <f t="shared" si="1"/>
        <v/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</row>
    <row r="740" ht="15.75" customHeight="1">
      <c r="A740" s="12" t="str">
        <f t="shared" si="1"/>
        <v/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</row>
    <row r="741" ht="15.75" customHeight="1">
      <c r="A741" s="12" t="str">
        <f t="shared" si="1"/>
        <v/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</row>
    <row r="742" ht="15.75" customHeight="1">
      <c r="A742" s="12" t="str">
        <f t="shared" si="1"/>
        <v/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</row>
    <row r="743" ht="15.75" customHeight="1">
      <c r="A743" s="12" t="str">
        <f t="shared" si="1"/>
        <v/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</row>
    <row r="744" ht="15.75" customHeight="1">
      <c r="A744" s="12" t="str">
        <f t="shared" si="1"/>
        <v/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</row>
    <row r="745" ht="15.75" customHeight="1">
      <c r="A745" s="12" t="str">
        <f t="shared" si="1"/>
        <v/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</row>
    <row r="746" ht="15.75" customHeight="1">
      <c r="A746" s="12" t="str">
        <f t="shared" si="1"/>
        <v/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/>
    </row>
    <row r="747" ht="15.75" customHeight="1">
      <c r="A747" s="12" t="str">
        <f t="shared" si="1"/>
        <v/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</row>
    <row r="748" ht="15.75" customHeight="1">
      <c r="A748" s="12" t="str">
        <f t="shared" si="1"/>
        <v/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</row>
    <row r="749" ht="15.75" customHeight="1">
      <c r="A749" s="12" t="str">
        <f t="shared" si="1"/>
        <v/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</row>
    <row r="750" ht="15.75" customHeight="1">
      <c r="A750" s="12" t="str">
        <f t="shared" si="1"/>
        <v/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</row>
    <row r="751" ht="15.75" customHeight="1">
      <c r="A751" s="12" t="str">
        <f t="shared" si="1"/>
        <v/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</row>
    <row r="752" ht="15.75" customHeight="1">
      <c r="A752" s="12" t="str">
        <f t="shared" si="1"/>
        <v/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/>
    </row>
    <row r="753" ht="15.75" customHeight="1">
      <c r="A753" s="12" t="str">
        <f t="shared" si="1"/>
        <v/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</row>
    <row r="754" ht="15.75" customHeight="1">
      <c r="A754" s="12" t="str">
        <f t="shared" si="1"/>
        <v/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</row>
    <row r="755" ht="15.75" customHeight="1">
      <c r="A755" s="12" t="str">
        <f t="shared" si="1"/>
        <v/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</row>
    <row r="756" ht="15.75" customHeight="1">
      <c r="A756" s="12" t="str">
        <f t="shared" si="1"/>
        <v/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</row>
    <row r="757" ht="15.75" customHeight="1">
      <c r="A757" s="12" t="str">
        <f t="shared" si="1"/>
        <v/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</row>
    <row r="758" ht="15.75" customHeight="1">
      <c r="A758" s="12" t="str">
        <f t="shared" si="1"/>
        <v/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</row>
    <row r="759" ht="15.75" customHeight="1">
      <c r="A759" s="12" t="str">
        <f t="shared" si="1"/>
        <v/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</row>
    <row r="760" ht="15.75" customHeight="1">
      <c r="A760" s="12" t="str">
        <f t="shared" si="1"/>
        <v/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</row>
    <row r="761" ht="15.75" customHeight="1">
      <c r="A761" s="12" t="str">
        <f t="shared" si="1"/>
        <v/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</row>
    <row r="762" ht="15.75" customHeight="1">
      <c r="A762" s="12" t="str">
        <f t="shared" si="1"/>
        <v/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</row>
    <row r="763" ht="15.75" customHeight="1">
      <c r="A763" s="12" t="str">
        <f t="shared" si="1"/>
        <v/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</row>
    <row r="764" ht="15.75" customHeight="1">
      <c r="A764" s="12" t="str">
        <f t="shared" si="1"/>
        <v/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</row>
    <row r="765" ht="15.75" customHeight="1">
      <c r="A765" s="12" t="str">
        <f t="shared" si="1"/>
        <v/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</row>
    <row r="766" ht="15.75" customHeight="1">
      <c r="A766" s="12" t="str">
        <f t="shared" si="1"/>
        <v/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</row>
    <row r="767" ht="15.75" customHeight="1">
      <c r="A767" s="12" t="str">
        <f t="shared" si="1"/>
        <v/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</row>
    <row r="768" ht="15.75" customHeight="1">
      <c r="A768" s="12" t="str">
        <f t="shared" si="1"/>
        <v/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</row>
    <row r="769" ht="15.75" customHeight="1">
      <c r="A769" s="12" t="str">
        <f t="shared" si="1"/>
        <v/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</row>
    <row r="770" ht="15.75" customHeight="1">
      <c r="A770" s="12" t="str">
        <f t="shared" si="1"/>
        <v/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</row>
    <row r="771" ht="15.75" customHeight="1">
      <c r="A771" s="12" t="str">
        <f t="shared" si="1"/>
        <v/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</row>
    <row r="772" ht="15.75" customHeight="1">
      <c r="A772" s="12" t="str">
        <f t="shared" si="1"/>
        <v/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</row>
    <row r="773" ht="15.75" customHeight="1">
      <c r="A773" s="12" t="str">
        <f t="shared" si="1"/>
        <v/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</row>
    <row r="774" ht="15.75" customHeight="1">
      <c r="A774" s="12" t="str">
        <f t="shared" si="1"/>
        <v/>
      </c>
      <c r="B774" s="12"/>
      <c r="C774" s="12"/>
      <c r="D774" s="12"/>
      <c r="E774" s="12"/>
      <c r="F774" s="12"/>
      <c r="G774" s="12"/>
      <c r="H774" s="12"/>
      <c r="I774" s="12"/>
      <c r="J774" s="12"/>
      <c r="K774" s="12"/>
    </row>
    <row r="775" ht="15.75" customHeight="1">
      <c r="A775" s="12" t="str">
        <f t="shared" si="1"/>
        <v/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</row>
    <row r="776" ht="15.75" customHeight="1">
      <c r="A776" s="12" t="str">
        <f t="shared" si="1"/>
        <v/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</row>
    <row r="777" ht="15.75" customHeight="1">
      <c r="A777" s="12" t="str">
        <f t="shared" si="1"/>
        <v/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</row>
    <row r="778" ht="15.75" customHeight="1">
      <c r="A778" s="12" t="str">
        <f t="shared" si="1"/>
        <v/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</row>
    <row r="779" ht="15.75" customHeight="1">
      <c r="A779" s="12" t="str">
        <f t="shared" si="1"/>
        <v/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</row>
    <row r="780" ht="15.75" customHeight="1">
      <c r="A780" s="12" t="str">
        <f t="shared" si="1"/>
        <v/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/>
    </row>
    <row r="781" ht="15.75" customHeight="1">
      <c r="A781" s="12" t="str">
        <f t="shared" si="1"/>
        <v/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</row>
    <row r="782" ht="15.75" customHeight="1">
      <c r="A782" s="12" t="str">
        <f t="shared" si="1"/>
        <v/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/>
    </row>
    <row r="783" ht="15.75" customHeight="1">
      <c r="A783" s="12" t="str">
        <f t="shared" si="1"/>
        <v/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</row>
    <row r="784" ht="15.75" customHeight="1">
      <c r="A784" s="12" t="str">
        <f t="shared" si="1"/>
        <v/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</row>
    <row r="785" ht="15.75" customHeight="1">
      <c r="A785" s="12" t="str">
        <f t="shared" si="1"/>
        <v/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</row>
    <row r="786" ht="15.75" customHeight="1">
      <c r="A786" s="12" t="str">
        <f t="shared" si="1"/>
        <v/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/>
    </row>
    <row r="787" ht="15.75" customHeight="1">
      <c r="A787" s="12" t="str">
        <f t="shared" si="1"/>
        <v/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</row>
    <row r="788" ht="15.75" customHeight="1">
      <c r="A788" s="12" t="str">
        <f t="shared" si="1"/>
        <v/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</row>
    <row r="789" ht="15.75" customHeight="1">
      <c r="A789" s="12" t="str">
        <f t="shared" si="1"/>
        <v/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</row>
    <row r="790" ht="15.75" customHeight="1">
      <c r="A790" s="12" t="str">
        <f t="shared" si="1"/>
        <v/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</row>
    <row r="791" ht="15.75" customHeight="1">
      <c r="A791" s="12" t="str">
        <f t="shared" si="1"/>
        <v/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</row>
    <row r="792" ht="15.75" customHeight="1">
      <c r="A792" s="12" t="str">
        <f t="shared" si="1"/>
        <v/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/>
    </row>
    <row r="793" ht="15.75" customHeight="1">
      <c r="A793" s="12" t="str">
        <f t="shared" si="1"/>
        <v/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</row>
    <row r="794" ht="15.75" customHeight="1">
      <c r="A794" s="12" t="str">
        <f t="shared" si="1"/>
        <v/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/>
    </row>
    <row r="795" ht="15.75" customHeight="1">
      <c r="A795" s="12" t="str">
        <f t="shared" si="1"/>
        <v/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</row>
    <row r="796" ht="15.75" customHeight="1">
      <c r="A796" s="12" t="str">
        <f t="shared" si="1"/>
        <v/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</row>
    <row r="797" ht="15.75" customHeight="1">
      <c r="A797" s="12" t="str">
        <f t="shared" si="1"/>
        <v/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</row>
    <row r="798" ht="15.75" customHeight="1">
      <c r="A798" s="12" t="str">
        <f t="shared" si="1"/>
        <v/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</row>
    <row r="799" ht="15.75" customHeight="1">
      <c r="A799" s="12" t="str">
        <f t="shared" si="1"/>
        <v/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</row>
    <row r="800" ht="15.75" customHeight="1">
      <c r="A800" s="12" t="str">
        <f t="shared" si="1"/>
        <v/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</row>
    <row r="801" ht="15.75" customHeight="1">
      <c r="A801" s="12" t="str">
        <f t="shared" si="1"/>
        <v/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</row>
    <row r="802" ht="15.75" customHeight="1">
      <c r="A802" s="12" t="str">
        <f t="shared" si="1"/>
        <v/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</row>
    <row r="803" ht="15.75" customHeight="1">
      <c r="A803" s="12" t="str">
        <f t="shared" si="1"/>
        <v/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</row>
    <row r="804" ht="15.75" customHeight="1">
      <c r="A804" s="12" t="str">
        <f t="shared" si="1"/>
        <v/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</row>
    <row r="805" ht="15.75" customHeight="1">
      <c r="A805" s="12" t="str">
        <f t="shared" si="1"/>
        <v/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</row>
    <row r="806" ht="15.75" customHeight="1">
      <c r="A806" s="12" t="str">
        <f t="shared" si="1"/>
        <v/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</row>
    <row r="807" ht="15.75" customHeight="1">
      <c r="A807" s="12" t="str">
        <f t="shared" si="1"/>
        <v/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</row>
    <row r="808" ht="15.75" customHeight="1">
      <c r="A808" s="12" t="str">
        <f t="shared" si="1"/>
        <v/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</row>
    <row r="809" ht="15.75" customHeight="1">
      <c r="A809" s="12" t="str">
        <f t="shared" si="1"/>
        <v/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</row>
    <row r="810" ht="15.75" customHeight="1">
      <c r="A810" s="12" t="str">
        <f t="shared" si="1"/>
        <v/>
      </c>
      <c r="B810" s="12"/>
      <c r="C810" s="12"/>
      <c r="D810" s="12"/>
      <c r="E810" s="12"/>
      <c r="F810" s="12"/>
      <c r="G810" s="12"/>
      <c r="H810" s="12"/>
      <c r="I810" s="12"/>
      <c r="J810" s="12"/>
      <c r="K810" s="12"/>
    </row>
    <row r="811" ht="15.75" customHeight="1">
      <c r="A811" s="12" t="str">
        <f t="shared" si="1"/>
        <v/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</row>
    <row r="812" ht="15.75" customHeight="1">
      <c r="A812" s="12" t="str">
        <f t="shared" si="1"/>
        <v/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/>
    </row>
    <row r="813" ht="15.75" customHeight="1">
      <c r="A813" s="12" t="str">
        <f t="shared" si="1"/>
        <v/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/>
    </row>
    <row r="814" ht="15.75" customHeight="1">
      <c r="A814" s="12" t="str">
        <f t="shared" si="1"/>
        <v/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/>
    </row>
    <row r="815" ht="15.75" customHeight="1">
      <c r="A815" s="12" t="str">
        <f t="shared" si="1"/>
        <v/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/>
    </row>
    <row r="816" ht="15.75" customHeight="1">
      <c r="A816" s="12" t="str">
        <f t="shared" si="1"/>
        <v/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/>
    </row>
    <row r="817" ht="15.75" customHeight="1">
      <c r="A817" s="12" t="str">
        <f t="shared" si="1"/>
        <v/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</row>
    <row r="818" ht="15.75" customHeight="1">
      <c r="A818" s="12" t="str">
        <f t="shared" si="1"/>
        <v/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/>
    </row>
    <row r="819" ht="15.75" customHeight="1">
      <c r="A819" s="12" t="str">
        <f t="shared" si="1"/>
        <v/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</row>
    <row r="820" ht="15.75" customHeight="1">
      <c r="A820" s="12" t="str">
        <f t="shared" si="1"/>
        <v/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</row>
    <row r="821" ht="15.75" customHeight="1">
      <c r="A821" s="12" t="str">
        <f t="shared" si="1"/>
        <v/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</row>
    <row r="822" ht="15.75" customHeight="1">
      <c r="A822" s="12" t="str">
        <f t="shared" si="1"/>
        <v/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</row>
    <row r="823" ht="15.75" customHeight="1">
      <c r="A823" s="12" t="str">
        <f t="shared" si="1"/>
        <v/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</row>
    <row r="824" ht="15.75" customHeight="1">
      <c r="A824" s="12" t="str">
        <f t="shared" si="1"/>
        <v/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/>
    </row>
    <row r="825" ht="15.75" customHeight="1">
      <c r="A825" s="12" t="str">
        <f t="shared" si="1"/>
        <v/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</row>
    <row r="826" ht="15.75" customHeight="1">
      <c r="A826" s="12" t="str">
        <f t="shared" si="1"/>
        <v/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/>
    </row>
    <row r="827" ht="15.75" customHeight="1">
      <c r="A827" s="12" t="str">
        <f t="shared" si="1"/>
        <v/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</row>
    <row r="828" ht="15.75" customHeight="1">
      <c r="A828" s="12" t="str">
        <f t="shared" si="1"/>
        <v/>
      </c>
      <c r="B828" s="12"/>
      <c r="C828" s="12"/>
      <c r="D828" s="12"/>
      <c r="E828" s="12"/>
      <c r="F828" s="12"/>
      <c r="G828" s="12"/>
      <c r="H828" s="12"/>
      <c r="I828" s="12"/>
      <c r="J828" s="12"/>
      <c r="K828" s="12"/>
    </row>
    <row r="829" ht="15.75" customHeight="1">
      <c r="A829" s="12" t="str">
        <f t="shared" si="1"/>
        <v/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</row>
    <row r="830" ht="15.75" customHeight="1">
      <c r="A830" s="12" t="str">
        <f t="shared" si="1"/>
        <v/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</row>
    <row r="831" ht="15.75" customHeight="1">
      <c r="A831" s="12" t="str">
        <f t="shared" si="1"/>
        <v/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</row>
    <row r="832" ht="15.75" customHeight="1">
      <c r="A832" s="12" t="str">
        <f t="shared" si="1"/>
        <v/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/>
    </row>
    <row r="833" ht="15.75" customHeight="1">
      <c r="A833" s="12" t="str">
        <f t="shared" si="1"/>
        <v/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</row>
    <row r="834" ht="15.75" customHeight="1">
      <c r="A834" s="12" t="str">
        <f t="shared" si="1"/>
        <v/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</row>
    <row r="835" ht="15.75" customHeight="1">
      <c r="A835" s="12" t="str">
        <f t="shared" si="1"/>
        <v/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</row>
    <row r="836" ht="15.75" customHeight="1">
      <c r="A836" s="12" t="str">
        <f t="shared" si="1"/>
        <v/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/>
    </row>
    <row r="837" ht="15.75" customHeight="1">
      <c r="A837" s="12" t="str">
        <f t="shared" si="1"/>
        <v/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</row>
    <row r="838" ht="15.75" customHeight="1">
      <c r="A838" s="12" t="str">
        <f t="shared" si="1"/>
        <v/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/>
    </row>
    <row r="839" ht="15.75" customHeight="1">
      <c r="A839" s="12" t="str">
        <f t="shared" si="1"/>
        <v/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</row>
    <row r="840" ht="15.75" customHeight="1">
      <c r="A840" s="12" t="str">
        <f t="shared" si="1"/>
        <v/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</row>
    <row r="841" ht="15.75" customHeight="1">
      <c r="A841" s="12" t="str">
        <f t="shared" si="1"/>
        <v/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</row>
    <row r="842" ht="15.75" customHeight="1">
      <c r="A842" s="12" t="str">
        <f t="shared" si="1"/>
        <v/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</row>
    <row r="843" ht="15.75" customHeight="1">
      <c r="A843" s="12" t="str">
        <f t="shared" si="1"/>
        <v/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</row>
    <row r="844" ht="15.75" customHeight="1">
      <c r="A844" s="12" t="str">
        <f t="shared" si="1"/>
        <v/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</row>
    <row r="845" ht="15.75" customHeight="1">
      <c r="A845" s="12" t="str">
        <f t="shared" si="1"/>
        <v/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</row>
    <row r="846" ht="15.75" customHeight="1">
      <c r="A846" s="12" t="str">
        <f t="shared" si="1"/>
        <v/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</row>
    <row r="847" ht="15.75" customHeight="1">
      <c r="A847" s="12" t="str">
        <f t="shared" si="1"/>
        <v/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/>
    </row>
    <row r="848" ht="15.75" customHeight="1">
      <c r="A848" s="12" t="str">
        <f t="shared" si="1"/>
        <v/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</row>
    <row r="849" ht="15.75" customHeight="1">
      <c r="A849" s="12" t="str">
        <f t="shared" si="1"/>
        <v/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</row>
    <row r="850" ht="15.75" customHeight="1">
      <c r="A850" s="12" t="str">
        <f t="shared" si="1"/>
        <v/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</row>
    <row r="851" ht="15.75" customHeight="1">
      <c r="A851" s="12" t="str">
        <f t="shared" si="1"/>
        <v/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</row>
    <row r="852" ht="15.75" customHeight="1">
      <c r="A852" s="12" t="str">
        <f t="shared" si="1"/>
        <v/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</row>
    <row r="853" ht="15.75" customHeight="1">
      <c r="A853" s="12" t="str">
        <f t="shared" si="1"/>
        <v/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</row>
    <row r="854" ht="15.75" customHeight="1">
      <c r="A854" s="12" t="str">
        <f t="shared" si="1"/>
        <v/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</row>
    <row r="855" ht="15.75" customHeight="1">
      <c r="A855" s="12" t="str">
        <f t="shared" si="1"/>
        <v/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</row>
    <row r="856" ht="15.75" customHeight="1">
      <c r="A856" s="12" t="str">
        <f t="shared" si="1"/>
        <v/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</row>
    <row r="857" ht="15.75" customHeight="1">
      <c r="A857" s="12" t="str">
        <f t="shared" si="1"/>
        <v/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</row>
    <row r="858" ht="15.75" customHeight="1">
      <c r="A858" s="12" t="str">
        <f t="shared" si="1"/>
        <v/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</row>
    <row r="859" ht="15.75" customHeight="1">
      <c r="A859" s="12" t="str">
        <f t="shared" si="1"/>
        <v/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</row>
    <row r="860" ht="15.75" customHeight="1">
      <c r="A860" s="12" t="str">
        <f t="shared" si="1"/>
        <v/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/>
    </row>
    <row r="861" ht="15.75" customHeight="1">
      <c r="A861" s="12" t="str">
        <f t="shared" si="1"/>
        <v/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</row>
    <row r="862" ht="15.75" customHeight="1">
      <c r="A862" s="12" t="str">
        <f t="shared" si="1"/>
        <v/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/>
    </row>
    <row r="863" ht="15.75" customHeight="1">
      <c r="A863" s="12" t="str">
        <f t="shared" si="1"/>
        <v/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</row>
    <row r="864" ht="15.75" customHeight="1">
      <c r="A864" s="12" t="str">
        <f t="shared" si="1"/>
        <v/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</row>
    <row r="865" ht="15.75" customHeight="1">
      <c r="A865" s="12" t="str">
        <f t="shared" si="1"/>
        <v/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</row>
    <row r="866" ht="15.75" customHeight="1">
      <c r="A866" s="12" t="str">
        <f t="shared" si="1"/>
        <v/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/>
    </row>
    <row r="867" ht="15.75" customHeight="1">
      <c r="A867" s="12" t="str">
        <f t="shared" si="1"/>
        <v/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</row>
    <row r="868" ht="15.75" customHeight="1">
      <c r="A868" s="12" t="str">
        <f t="shared" si="1"/>
        <v/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</row>
    <row r="869" ht="15.75" customHeight="1">
      <c r="A869" s="12" t="str">
        <f t="shared" si="1"/>
        <v/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</row>
    <row r="870" ht="15.75" customHeight="1">
      <c r="A870" s="12" t="str">
        <f t="shared" si="1"/>
        <v/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</row>
    <row r="871" ht="15.75" customHeight="1">
      <c r="A871" s="12" t="str">
        <f t="shared" si="1"/>
        <v/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</row>
    <row r="872" ht="15.75" customHeight="1">
      <c r="A872" s="12" t="str">
        <f t="shared" si="1"/>
        <v/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</row>
    <row r="873" ht="15.75" customHeight="1">
      <c r="A873" s="12" t="str">
        <f t="shared" si="1"/>
        <v/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</row>
    <row r="874" ht="15.75" customHeight="1">
      <c r="A874" s="12" t="str">
        <f t="shared" si="1"/>
        <v/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/>
    </row>
    <row r="875" ht="15.75" customHeight="1">
      <c r="A875" s="12" t="str">
        <f t="shared" si="1"/>
        <v/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</row>
    <row r="876" ht="15.75" customHeight="1">
      <c r="A876" s="12" t="str">
        <f t="shared" si="1"/>
        <v/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</row>
    <row r="877" ht="15.75" customHeight="1">
      <c r="A877" s="12" t="str">
        <f t="shared" si="1"/>
        <v/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</row>
    <row r="878" ht="15.75" customHeight="1">
      <c r="A878" s="12" t="str">
        <f t="shared" si="1"/>
        <v/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</row>
    <row r="879" ht="15.75" customHeight="1">
      <c r="A879" s="12" t="str">
        <f t="shared" si="1"/>
        <v/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</row>
    <row r="880" ht="15.75" customHeight="1">
      <c r="A880" s="12" t="str">
        <f t="shared" si="1"/>
        <v/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</row>
    <row r="881" ht="15.75" customHeight="1">
      <c r="A881" s="12" t="str">
        <f t="shared" si="1"/>
        <v/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</row>
    <row r="882" ht="15.75" customHeight="1">
      <c r="A882" s="12" t="str">
        <f t="shared" si="1"/>
        <v/>
      </c>
      <c r="B882" s="12"/>
      <c r="C882" s="12"/>
      <c r="D882" s="12"/>
      <c r="E882" s="12"/>
      <c r="F882" s="12"/>
      <c r="G882" s="12"/>
      <c r="H882" s="12"/>
      <c r="I882" s="12"/>
      <c r="J882" s="12"/>
      <c r="K882" s="12"/>
    </row>
    <row r="883" ht="15.75" customHeight="1">
      <c r="A883" s="12" t="str">
        <f t="shared" si="1"/>
        <v/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</row>
    <row r="884" ht="15.75" customHeight="1">
      <c r="A884" s="12" t="str">
        <f t="shared" si="1"/>
        <v/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</row>
    <row r="885" ht="15.75" customHeight="1">
      <c r="A885" s="12" t="str">
        <f t="shared" si="1"/>
        <v/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</row>
    <row r="886" ht="15.75" customHeight="1">
      <c r="A886" s="12" t="str">
        <f t="shared" si="1"/>
        <v/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</row>
    <row r="887" ht="15.75" customHeight="1">
      <c r="A887" s="12" t="str">
        <f t="shared" si="1"/>
        <v/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</row>
    <row r="888" ht="15.75" customHeight="1">
      <c r="A888" s="12" t="str">
        <f t="shared" si="1"/>
        <v/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</row>
    <row r="889" ht="15.75" customHeight="1">
      <c r="A889" s="12" t="str">
        <f t="shared" si="1"/>
        <v/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</row>
    <row r="890" ht="15.75" customHeight="1">
      <c r="A890" s="12" t="str">
        <f t="shared" si="1"/>
        <v/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</row>
    <row r="891" ht="15.75" customHeight="1">
      <c r="A891" s="12" t="str">
        <f t="shared" si="1"/>
        <v/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</row>
    <row r="892" ht="15.75" customHeight="1">
      <c r="A892" s="12" t="str">
        <f t="shared" si="1"/>
        <v/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</row>
    <row r="893" ht="15.75" customHeight="1">
      <c r="A893" s="12" t="str">
        <f t="shared" si="1"/>
        <v/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</row>
    <row r="894" ht="15.75" customHeight="1">
      <c r="A894" s="12" t="str">
        <f t="shared" si="1"/>
        <v/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</row>
    <row r="895" ht="15.75" customHeight="1">
      <c r="A895" s="12" t="str">
        <f t="shared" si="1"/>
        <v/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</row>
    <row r="896" ht="15.75" customHeight="1">
      <c r="A896" s="12" t="str">
        <f t="shared" si="1"/>
        <v/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/>
    </row>
    <row r="897" ht="15.75" customHeight="1">
      <c r="A897" s="12" t="str">
        <f t="shared" si="1"/>
        <v/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</row>
    <row r="898" ht="15.75" customHeight="1">
      <c r="A898" s="12" t="str">
        <f t="shared" si="1"/>
        <v/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</row>
    <row r="899" ht="15.75" customHeight="1">
      <c r="A899" s="12" t="str">
        <f t="shared" si="1"/>
        <v/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</row>
    <row r="900" ht="15.75" customHeight="1">
      <c r="A900" s="12" t="str">
        <f t="shared" si="1"/>
        <v/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/>
    </row>
    <row r="901" ht="15.75" customHeight="1">
      <c r="A901" s="12" t="str">
        <f t="shared" si="1"/>
        <v/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</row>
    <row r="902" ht="15.75" customHeight="1">
      <c r="A902" s="12" t="str">
        <f t="shared" si="1"/>
        <v/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</row>
    <row r="903" ht="15.75" customHeight="1">
      <c r="A903" s="12" t="str">
        <f t="shared" si="1"/>
        <v/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</row>
    <row r="904" ht="15.75" customHeight="1">
      <c r="A904" s="12" t="str">
        <f t="shared" si="1"/>
        <v/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</row>
    <row r="905" ht="15.75" customHeight="1">
      <c r="A905" s="12" t="str">
        <f t="shared" si="1"/>
        <v/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</row>
    <row r="906" ht="15.75" customHeight="1">
      <c r="A906" s="12" t="str">
        <f t="shared" si="1"/>
        <v/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</row>
    <row r="907" ht="15.75" customHeight="1">
      <c r="A907" s="12" t="str">
        <f t="shared" si="1"/>
        <v/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</row>
    <row r="908" ht="15.75" customHeight="1">
      <c r="A908" s="12" t="str">
        <f t="shared" si="1"/>
        <v/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/>
    </row>
    <row r="909" ht="15.75" customHeight="1">
      <c r="A909" s="12" t="str">
        <f t="shared" si="1"/>
        <v/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</row>
    <row r="910" ht="15.75" customHeight="1">
      <c r="A910" s="12" t="str">
        <f t="shared" si="1"/>
        <v/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</row>
    <row r="911" ht="15.75" customHeight="1">
      <c r="A911" s="12" t="str">
        <f t="shared" si="1"/>
        <v/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</row>
    <row r="912" ht="15.75" customHeight="1">
      <c r="A912" s="12" t="str">
        <f t="shared" si="1"/>
        <v/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</row>
    <row r="913" ht="15.75" customHeight="1">
      <c r="A913" s="12" t="str">
        <f t="shared" si="1"/>
        <v/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</row>
    <row r="914" ht="15.75" customHeight="1">
      <c r="A914" s="12" t="str">
        <f t="shared" si="1"/>
        <v/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</row>
    <row r="915" ht="15.75" customHeight="1">
      <c r="A915" s="12" t="str">
        <f t="shared" si="1"/>
        <v/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</row>
    <row r="916" ht="15.75" customHeight="1">
      <c r="A916" s="12" t="str">
        <f t="shared" si="1"/>
        <v/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</row>
    <row r="917" ht="15.75" customHeight="1">
      <c r="A917" s="12" t="str">
        <f t="shared" si="1"/>
        <v/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</row>
    <row r="918" ht="15.75" customHeight="1">
      <c r="A918" s="12" t="str">
        <f t="shared" si="1"/>
        <v/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/>
    </row>
    <row r="919" ht="15.75" customHeight="1">
      <c r="A919" s="12" t="str">
        <f t="shared" si="1"/>
        <v/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</row>
    <row r="920" ht="15.75" customHeight="1">
      <c r="A920" s="12" t="str">
        <f t="shared" si="1"/>
        <v/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</row>
    <row r="921" ht="15.75" customHeight="1">
      <c r="A921" s="12" t="str">
        <f t="shared" si="1"/>
        <v/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</row>
    <row r="922" ht="15.75" customHeight="1">
      <c r="A922" s="12" t="str">
        <f t="shared" si="1"/>
        <v/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</row>
    <row r="923" ht="15.75" customHeight="1">
      <c r="A923" s="12" t="str">
        <f t="shared" si="1"/>
        <v/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</row>
    <row r="924" ht="15.75" customHeight="1">
      <c r="A924" s="12" t="str">
        <f t="shared" si="1"/>
        <v/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</row>
    <row r="925" ht="15.75" customHeight="1">
      <c r="A925" s="12" t="str">
        <f t="shared" si="1"/>
        <v/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</row>
    <row r="926" ht="15.75" customHeight="1">
      <c r="A926" s="12" t="str">
        <f t="shared" si="1"/>
        <v/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</row>
    <row r="927" ht="15.75" customHeight="1">
      <c r="A927" s="12" t="str">
        <f t="shared" si="1"/>
        <v/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</row>
    <row r="928" ht="15.75" customHeight="1">
      <c r="A928" s="12" t="str">
        <f t="shared" si="1"/>
        <v/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/>
    </row>
    <row r="929" ht="15.75" customHeight="1">
      <c r="A929" s="12" t="str">
        <f t="shared" si="1"/>
        <v/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</row>
    <row r="930" ht="15.75" customHeight="1">
      <c r="A930" s="12" t="str">
        <f t="shared" si="1"/>
        <v/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</row>
    <row r="931" ht="15.75" customHeight="1">
      <c r="A931" s="12" t="str">
        <f t="shared" si="1"/>
        <v/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</row>
    <row r="932" ht="15.75" customHeight="1">
      <c r="A932" s="12" t="str">
        <f t="shared" si="1"/>
        <v/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</row>
    <row r="933" ht="15.75" customHeight="1">
      <c r="A933" s="12" t="str">
        <f t="shared" si="1"/>
        <v/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</row>
    <row r="934" ht="15.75" customHeight="1">
      <c r="A934" s="12" t="str">
        <f t="shared" si="1"/>
        <v/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</row>
    <row r="935" ht="15.75" customHeight="1">
      <c r="A935" s="12" t="str">
        <f t="shared" si="1"/>
        <v/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</row>
    <row r="936" ht="15.75" customHeight="1">
      <c r="A936" s="12" t="str">
        <f t="shared" si="1"/>
        <v/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</row>
    <row r="937" ht="15.75" customHeight="1">
      <c r="A937" s="12" t="str">
        <f t="shared" si="1"/>
        <v/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</row>
    <row r="938" ht="15.75" customHeight="1">
      <c r="A938" s="12" t="str">
        <f t="shared" si="1"/>
        <v/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</row>
    <row r="939" ht="15.75" customHeight="1">
      <c r="A939" s="12" t="str">
        <f t="shared" si="1"/>
        <v/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</row>
    <row r="940" ht="15.75" customHeight="1">
      <c r="A940" s="12" t="str">
        <f t="shared" si="1"/>
        <v/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</row>
    <row r="941" ht="15.75" customHeight="1">
      <c r="A941" s="12" t="str">
        <f t="shared" si="1"/>
        <v/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</row>
    <row r="942" ht="15.75" customHeight="1">
      <c r="A942" s="12" t="str">
        <f t="shared" si="1"/>
        <v/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/>
    </row>
    <row r="943" ht="15.75" customHeight="1">
      <c r="A943" s="12" t="str">
        <f t="shared" si="1"/>
        <v/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</row>
    <row r="944" ht="15.75" customHeight="1">
      <c r="A944" s="12" t="str">
        <f t="shared" si="1"/>
        <v/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/>
    </row>
    <row r="945" ht="15.75" customHeight="1">
      <c r="A945" s="12" t="str">
        <f t="shared" si="1"/>
        <v/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</row>
    <row r="946" ht="15.75" customHeight="1">
      <c r="A946" s="12" t="str">
        <f t="shared" si="1"/>
        <v/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/>
    </row>
    <row r="947" ht="15.75" customHeight="1">
      <c r="A947" s="12" t="str">
        <f t="shared" si="1"/>
        <v/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</row>
    <row r="948" ht="15.75" customHeight="1">
      <c r="A948" s="12" t="str">
        <f t="shared" si="1"/>
        <v/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</row>
    <row r="949" ht="15.75" customHeight="1">
      <c r="A949" s="12" t="str">
        <f t="shared" si="1"/>
        <v/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</row>
    <row r="950" ht="15.75" customHeight="1">
      <c r="A950" s="12" t="str">
        <f t="shared" si="1"/>
        <v/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</row>
    <row r="951" ht="15.75" customHeight="1">
      <c r="A951" s="12" t="str">
        <f t="shared" si="1"/>
        <v/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</row>
    <row r="952" ht="15.75" customHeight="1">
      <c r="A952" s="12" t="str">
        <f t="shared" si="1"/>
        <v/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</row>
    <row r="953" ht="15.75" customHeight="1">
      <c r="A953" s="12" t="str">
        <f t="shared" si="1"/>
        <v/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</row>
    <row r="954" ht="15.75" customHeight="1">
      <c r="A954" s="12" t="str">
        <f t="shared" si="1"/>
        <v/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</row>
    <row r="955" ht="15.75" customHeight="1">
      <c r="A955" s="12" t="str">
        <f t="shared" si="1"/>
        <v/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</row>
    <row r="956" ht="15.75" customHeight="1">
      <c r="A956" s="12" t="str">
        <f t="shared" si="1"/>
        <v/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</row>
    <row r="957" ht="15.75" customHeight="1">
      <c r="A957" s="12" t="str">
        <f t="shared" si="1"/>
        <v/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</row>
    <row r="958" ht="15.75" customHeight="1">
      <c r="A958" s="12" t="str">
        <f t="shared" si="1"/>
        <v/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</row>
    <row r="959" ht="15.75" customHeight="1">
      <c r="A959" s="12" t="str">
        <f t="shared" si="1"/>
        <v/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</row>
    <row r="960" ht="15.75" customHeight="1">
      <c r="A960" s="12" t="str">
        <f t="shared" si="1"/>
        <v/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</row>
    <row r="961" ht="15.75" customHeight="1">
      <c r="A961" s="12" t="str">
        <f t="shared" si="1"/>
        <v/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</row>
    <row r="962" ht="15.75" customHeight="1">
      <c r="A962" s="12" t="str">
        <f t="shared" si="1"/>
        <v/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</row>
    <row r="963" ht="15.75" customHeight="1">
      <c r="A963" s="12" t="str">
        <f t="shared" si="1"/>
        <v/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</row>
    <row r="964" ht="15.75" customHeight="1">
      <c r="A964" s="12" t="str">
        <f t="shared" si="1"/>
        <v/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</row>
    <row r="965" ht="15.75" customHeight="1">
      <c r="A965" s="12" t="str">
        <f t="shared" si="1"/>
        <v/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</row>
    <row r="966" ht="15.75" customHeight="1">
      <c r="A966" s="12" t="str">
        <f t="shared" si="1"/>
        <v/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</row>
    <row r="967" ht="15.75" customHeight="1">
      <c r="A967" s="12" t="str">
        <f t="shared" si="1"/>
        <v/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</row>
    <row r="968" ht="15.75" customHeight="1">
      <c r="A968" s="12" t="str">
        <f t="shared" si="1"/>
        <v/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</row>
    <row r="969" ht="15.75" customHeight="1">
      <c r="A969" s="12" t="str">
        <f t="shared" si="1"/>
        <v/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</row>
    <row r="970" ht="15.75" customHeight="1">
      <c r="A970" s="12" t="str">
        <f t="shared" si="1"/>
        <v/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</row>
    <row r="971" ht="15.75" customHeight="1">
      <c r="A971" s="12" t="str">
        <f t="shared" si="1"/>
        <v/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</row>
    <row r="972" ht="15.75" customHeight="1">
      <c r="A972" s="12" t="str">
        <f t="shared" si="1"/>
        <v/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/>
    </row>
    <row r="973" ht="15.75" customHeight="1">
      <c r="A973" s="12" t="str">
        <f t="shared" si="1"/>
        <v/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/>
    </row>
    <row r="974" ht="15.75" customHeight="1">
      <c r="A974" s="12" t="str">
        <f t="shared" si="1"/>
        <v/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/>
    </row>
    <row r="975" ht="15.75" customHeight="1">
      <c r="A975" s="12" t="str">
        <f t="shared" si="1"/>
        <v/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</row>
    <row r="976" ht="15.75" customHeight="1">
      <c r="A976" s="12" t="str">
        <f t="shared" si="1"/>
        <v/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</row>
    <row r="977" ht="15.75" customHeight="1">
      <c r="A977" s="12" t="str">
        <f t="shared" si="1"/>
        <v/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</row>
    <row r="978" ht="15.75" customHeight="1">
      <c r="A978" s="12" t="str">
        <f t="shared" si="1"/>
        <v/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</row>
    <row r="979" ht="15.75" customHeight="1">
      <c r="A979" s="12" t="str">
        <f t="shared" si="1"/>
        <v/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</row>
    <row r="980" ht="15.75" customHeight="1">
      <c r="A980" s="12" t="str">
        <f t="shared" si="1"/>
        <v/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/>
    </row>
    <row r="981" ht="15.75" customHeight="1">
      <c r="A981" s="12" t="str">
        <f t="shared" si="1"/>
        <v/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</row>
    <row r="982" ht="15.75" customHeight="1">
      <c r="A982" s="12" t="str">
        <f t="shared" si="1"/>
        <v/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</row>
    <row r="983" ht="15.75" customHeight="1">
      <c r="A983" s="12" t="str">
        <f t="shared" si="1"/>
        <v/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</row>
    <row r="984" ht="15.75" customHeight="1">
      <c r="A984" s="12" t="str">
        <f t="shared" si="1"/>
        <v/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/>
    </row>
    <row r="985" ht="15.75" customHeight="1">
      <c r="A985" s="12" t="str">
        <f t="shared" si="1"/>
        <v/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</row>
    <row r="986" ht="15.75" customHeight="1">
      <c r="A986" s="12" t="str">
        <f t="shared" si="1"/>
        <v/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/>
    </row>
    <row r="987" ht="15.75" customHeight="1">
      <c r="A987" s="12" t="str">
        <f t="shared" si="1"/>
        <v/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</row>
    <row r="988" ht="15.75" customHeight="1">
      <c r="A988" s="12" t="str">
        <f t="shared" si="1"/>
        <v/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</row>
    <row r="989" ht="15.75" customHeight="1">
      <c r="A989" s="12" t="str">
        <f t="shared" si="1"/>
        <v/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</row>
    <row r="990" ht="15.75" customHeight="1">
      <c r="A990" s="12" t="str">
        <f t="shared" si="1"/>
        <v/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/>
    </row>
    <row r="991" ht="15.75" customHeight="1">
      <c r="A991" s="12" t="str">
        <f t="shared" si="1"/>
        <v/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/>
    </row>
    <row r="992" ht="15.75" customHeight="1">
      <c r="A992" s="12" t="str">
        <f t="shared" si="1"/>
        <v/>
      </c>
      <c r="B992" s="12"/>
      <c r="C992" s="12"/>
      <c r="D992" s="12"/>
      <c r="E992" s="12"/>
      <c r="F992" s="12"/>
      <c r="G992" s="12"/>
      <c r="H992" s="12"/>
      <c r="I992" s="12"/>
      <c r="J992" s="12"/>
      <c r="K992" s="12"/>
    </row>
    <row r="993" ht="15.75" customHeight="1">
      <c r="A993" s="12" t="str">
        <f t="shared" si="1"/>
        <v/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</row>
    <row r="994" ht="15.75" customHeight="1">
      <c r="A994" s="12" t="str">
        <f t="shared" si="1"/>
        <v/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</row>
    <row r="995" ht="15.75" customHeight="1">
      <c r="A995" s="12" t="str">
        <f t="shared" si="1"/>
        <v/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</row>
    <row r="996" ht="15.75" customHeight="1">
      <c r="A996" s="12" t="str">
        <f t="shared" si="1"/>
        <v/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</row>
    <row r="997" ht="15.75" customHeight="1">
      <c r="A997" s="12" t="str">
        <f t="shared" si="1"/>
        <v/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</row>
    <row r="998" ht="15.75" customHeight="1">
      <c r="A998" s="12" t="str">
        <f t="shared" si="1"/>
        <v/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</row>
    <row r="999" ht="15.75" customHeight="1">
      <c r="A999" s="12" t="str">
        <f t="shared" si="1"/>
        <v/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</row>
    <row r="1000" ht="15.75" customHeight="1">
      <c r="A1000" s="12" t="str">
        <f t="shared" si="1"/>
        <v/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</row>
    <row r="1001" ht="15.75" customHeight="1">
      <c r="A1001" s="12" t="str">
        <f t="shared" si="1"/>
        <v/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</row>
    <row r="1002" ht="15.75" customHeight="1">
      <c r="A1002" s="12" t="str">
        <f t="shared" si="1"/>
        <v/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</row>
    <row r="1003" ht="15.75" customHeight="1">
      <c r="A1003" s="12" t="str">
        <f t="shared" si="1"/>
        <v/>
      </c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</row>
    <row r="1004" ht="15.75" customHeight="1">
      <c r="A1004" s="12" t="str">
        <f t="shared" si="1"/>
        <v/>
      </c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</row>
  </sheetData>
  <mergeCells count="2">
    <mergeCell ref="A1:K1"/>
    <mergeCell ref="A2:K2"/>
  </mergeCells>
  <conditionalFormatting sqref="G5:G1004">
    <cfRule type="expression" dxfId="4" priority="1">
      <formula>G5="Passed"</formula>
    </cfRule>
  </conditionalFormatting>
  <conditionalFormatting sqref="G5:G1004">
    <cfRule type="expression" dxfId="5" priority="2">
      <formula>G5="Failed"</formula>
    </cfRule>
  </conditionalFormatting>
  <conditionalFormatting sqref="G5:G1004">
    <cfRule type="expression" dxfId="6" priority="3">
      <formula>G5="Blocked"</formula>
    </cfRule>
  </conditionalFormatting>
  <conditionalFormatting sqref="G5:G1004">
    <cfRule type="expression" dxfId="7" priority="4">
      <formula>G5="Not Executed"</formula>
    </cfRule>
  </conditionalFormatting>
  <dataValidations>
    <dataValidation type="list" allowBlank="1" sqref="E5:E1004">
      <formula1>"Chrome,Edge,Firefox,Opera,N/A"</formula1>
    </dataValidation>
    <dataValidation type="list" allowBlank="1" sqref="G5:G1004">
      <formula1>"Not Executed,Passed,Failed,Blocked,Not Applicable"</formula1>
    </dataValidation>
    <dataValidation type="list" allowBlank="1" sqref="C5:C1004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type="list" allowBlank="1" sqref="D5:D1004">
      <formula1>"N/A,standard_user,locked_out_user,problem_user,performance_glitch_user,error_user,visual_user,Multiple Relevant Users,All Applicable Users,Representative User"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6.0"/>
    <col customWidth="1" min="3" max="3" width="24.0"/>
    <col customWidth="1" min="4" max="4" width="20.0"/>
    <col customWidth="1" min="5" max="5" width="24.0"/>
    <col customWidth="1" min="6" max="6" width="16.0"/>
    <col customWidth="1" min="7" max="7" width="14.0"/>
    <col customWidth="1" min="8" max="8" width="16.0"/>
    <col customWidth="1" min="9" max="9" width="54.0"/>
    <col customWidth="1" min="10" max="10" width="38.0"/>
    <col customWidth="1" min="11" max="11" width="8.63"/>
    <col customWidth="1" min="12" max="12" width="20.0"/>
    <col customWidth="1" min="13" max="13" width="12.0"/>
    <col customWidth="1" min="14" max="26" width="8.63"/>
  </cols>
  <sheetData>
    <row r="1">
      <c r="A1" s="10" t="s">
        <v>1160</v>
      </c>
      <c r="L1" s="6" t="s">
        <v>1161</v>
      </c>
    </row>
    <row r="2">
      <c r="A2" s="6" t="s">
        <v>1162</v>
      </c>
      <c r="L2" s="9" t="s">
        <v>1163</v>
      </c>
      <c r="M2" s="9">
        <f>COUNTIF($B$5:$B$304,"&lt;&gt;")</f>
        <v>0</v>
      </c>
    </row>
    <row r="3">
      <c r="L3" s="9" t="s">
        <v>1164</v>
      </c>
      <c r="M3" s="9">
        <f>COUNTIF($H$5:$H$304,"Open")</f>
        <v>0</v>
      </c>
    </row>
    <row r="4">
      <c r="A4" s="11" t="s">
        <v>1165</v>
      </c>
      <c r="B4" s="11" t="s">
        <v>1166</v>
      </c>
      <c r="C4" s="11" t="s">
        <v>106</v>
      </c>
      <c r="D4" s="11" t="s">
        <v>1167</v>
      </c>
      <c r="E4" s="11" t="s">
        <v>1153</v>
      </c>
      <c r="F4" s="11" t="s">
        <v>1154</v>
      </c>
      <c r="G4" s="11" t="s">
        <v>1168</v>
      </c>
      <c r="H4" s="11" t="s">
        <v>1156</v>
      </c>
      <c r="I4" s="11" t="s">
        <v>1169</v>
      </c>
      <c r="J4" s="11" t="s">
        <v>114</v>
      </c>
      <c r="L4" s="9" t="s">
        <v>1170</v>
      </c>
      <c r="M4" s="9">
        <f>COUNTIF($H$5:$H$304,"In Progress")</f>
        <v>0</v>
      </c>
    </row>
    <row r="5">
      <c r="A5" s="3" t="str">
        <f t="shared" ref="A5:A304" si="1">IF(B5="","","DEF-"&amp;TEXT(ROW()-4,"0000"))</f>
        <v/>
      </c>
      <c r="B5" s="3"/>
      <c r="C5" s="3"/>
      <c r="D5" s="3"/>
      <c r="E5" s="3"/>
      <c r="F5" s="3"/>
      <c r="G5" s="3"/>
      <c r="H5" s="3"/>
      <c r="I5" s="3"/>
      <c r="J5" s="3"/>
      <c r="L5" s="9" t="s">
        <v>1171</v>
      </c>
      <c r="M5" s="9">
        <f>COUNTIF($H$5:$H$304,"Resolved")</f>
        <v>0</v>
      </c>
    </row>
    <row r="6">
      <c r="A6" s="3" t="str">
        <f t="shared" si="1"/>
        <v/>
      </c>
      <c r="B6" s="3"/>
      <c r="C6" s="3"/>
      <c r="D6" s="3"/>
      <c r="E6" s="3"/>
      <c r="F6" s="3"/>
      <c r="G6" s="3"/>
      <c r="H6" s="3"/>
      <c r="I6" s="3"/>
      <c r="J6" s="3"/>
      <c r="L6" s="9" t="s">
        <v>1172</v>
      </c>
      <c r="M6" s="9">
        <f>COUNTIF($H$5:$H$304,"Closed")</f>
        <v>0</v>
      </c>
    </row>
    <row r="7">
      <c r="A7" s="3" t="str">
        <f t="shared" si="1"/>
        <v/>
      </c>
      <c r="B7" s="3"/>
      <c r="C7" s="3"/>
      <c r="D7" s="3"/>
      <c r="E7" s="3"/>
      <c r="F7" s="3"/>
      <c r="G7" s="3"/>
      <c r="H7" s="3"/>
      <c r="I7" s="3"/>
      <c r="J7" s="3"/>
      <c r="L7" s="9" t="s">
        <v>1173</v>
      </c>
      <c r="M7" s="9">
        <f>COUNTIF($G$5:$G$304,"Critical")</f>
        <v>0</v>
      </c>
    </row>
    <row r="8">
      <c r="A8" s="3" t="str">
        <f t="shared" si="1"/>
        <v/>
      </c>
      <c r="B8" s="3"/>
      <c r="C8" s="3"/>
      <c r="D8" s="3"/>
      <c r="E8" s="3"/>
      <c r="F8" s="3"/>
      <c r="G8" s="3"/>
      <c r="H8" s="3"/>
      <c r="I8" s="3"/>
      <c r="J8" s="3"/>
      <c r="L8" s="9" t="s">
        <v>1174</v>
      </c>
      <c r="M8" s="9">
        <f>COUNTIF($G$5:$G$304,"High")</f>
        <v>0</v>
      </c>
    </row>
    <row r="9">
      <c r="A9" s="3" t="str">
        <f t="shared" si="1"/>
        <v/>
      </c>
      <c r="B9" s="3"/>
      <c r="C9" s="3"/>
      <c r="D9" s="3"/>
      <c r="E9" s="3"/>
      <c r="F9" s="3"/>
      <c r="G9" s="3"/>
      <c r="H9" s="3"/>
      <c r="I9" s="3"/>
      <c r="J9" s="3"/>
      <c r="L9" s="9" t="s">
        <v>1175</v>
      </c>
      <c r="M9" s="9">
        <f>COUNTIF($G$5:$G$304,"Medium")</f>
        <v>0</v>
      </c>
    </row>
    <row r="10">
      <c r="A10" s="3" t="str">
        <f t="shared" si="1"/>
        <v/>
      </c>
      <c r="B10" s="3"/>
      <c r="C10" s="3"/>
      <c r="D10" s="3"/>
      <c r="E10" s="3"/>
      <c r="F10" s="3"/>
      <c r="G10" s="3"/>
      <c r="H10" s="3"/>
      <c r="I10" s="3"/>
      <c r="J10" s="3"/>
    </row>
    <row r="11">
      <c r="A11" s="3" t="str">
        <f t="shared" si="1"/>
        <v/>
      </c>
      <c r="B11" s="3"/>
      <c r="C11" s="3"/>
      <c r="D11" s="3"/>
      <c r="E11" s="3"/>
      <c r="F11" s="3"/>
      <c r="G11" s="3"/>
      <c r="H11" s="3"/>
      <c r="I11" s="3"/>
      <c r="J11" s="3"/>
    </row>
    <row r="12">
      <c r="A12" s="3" t="str">
        <f t="shared" si="1"/>
        <v/>
      </c>
      <c r="B12" s="3"/>
      <c r="C12" s="3"/>
      <c r="D12" s="3"/>
      <c r="E12" s="3"/>
      <c r="F12" s="3"/>
      <c r="G12" s="3"/>
      <c r="H12" s="3"/>
      <c r="I12" s="3"/>
      <c r="J12" s="3"/>
    </row>
    <row r="13">
      <c r="A13" s="3" t="str">
        <f t="shared" si="1"/>
        <v/>
      </c>
      <c r="B13" s="3"/>
      <c r="C13" s="3"/>
      <c r="D13" s="3"/>
      <c r="E13" s="3"/>
      <c r="F13" s="3"/>
      <c r="G13" s="3"/>
      <c r="H13" s="3"/>
      <c r="I13" s="3"/>
      <c r="J13" s="3"/>
    </row>
    <row r="14">
      <c r="A14" s="3" t="str">
        <f t="shared" si="1"/>
        <v/>
      </c>
      <c r="B14" s="3"/>
      <c r="C14" s="3"/>
      <c r="D14" s="3"/>
      <c r="E14" s="3"/>
      <c r="F14" s="3"/>
      <c r="G14" s="3"/>
      <c r="H14" s="3"/>
      <c r="I14" s="3"/>
      <c r="J14" s="3"/>
    </row>
    <row r="15">
      <c r="A15" s="3" t="str">
        <f t="shared" si="1"/>
        <v/>
      </c>
      <c r="B15" s="3"/>
      <c r="C15" s="3"/>
      <c r="D15" s="3"/>
      <c r="E15" s="3"/>
      <c r="F15" s="3"/>
      <c r="G15" s="3"/>
      <c r="H15" s="3"/>
      <c r="I15" s="3"/>
      <c r="J15" s="3"/>
    </row>
    <row r="16">
      <c r="A16" s="3" t="str">
        <f t="shared" si="1"/>
        <v/>
      </c>
      <c r="B16" s="3"/>
      <c r="C16" s="3"/>
      <c r="D16" s="3"/>
      <c r="E16" s="3"/>
      <c r="F16" s="3"/>
      <c r="G16" s="3"/>
      <c r="H16" s="3"/>
      <c r="I16" s="3"/>
      <c r="J16" s="3"/>
    </row>
    <row r="17">
      <c r="A17" s="3" t="str">
        <f t="shared" si="1"/>
        <v/>
      </c>
      <c r="B17" s="3"/>
      <c r="C17" s="3"/>
      <c r="D17" s="3"/>
      <c r="E17" s="3"/>
      <c r="F17" s="3"/>
      <c r="G17" s="3"/>
      <c r="H17" s="3"/>
      <c r="I17" s="3"/>
      <c r="J17" s="3"/>
    </row>
    <row r="18">
      <c r="A18" s="3" t="str">
        <f t="shared" si="1"/>
        <v/>
      </c>
      <c r="B18" s="3"/>
      <c r="C18" s="3"/>
      <c r="D18" s="3"/>
      <c r="E18" s="3"/>
      <c r="F18" s="3"/>
      <c r="G18" s="3"/>
      <c r="H18" s="3"/>
      <c r="I18" s="3"/>
      <c r="J18" s="3"/>
    </row>
    <row r="19">
      <c r="A19" s="3" t="str">
        <f t="shared" si="1"/>
        <v/>
      </c>
      <c r="B19" s="3"/>
      <c r="C19" s="3"/>
      <c r="D19" s="3"/>
      <c r="E19" s="3"/>
      <c r="F19" s="3"/>
      <c r="G19" s="3"/>
      <c r="H19" s="3"/>
      <c r="I19" s="3"/>
      <c r="J19" s="3"/>
    </row>
    <row r="20">
      <c r="A20" s="3" t="str">
        <f t="shared" si="1"/>
        <v/>
      </c>
      <c r="B20" s="3"/>
      <c r="C20" s="3"/>
      <c r="D20" s="3"/>
      <c r="E20" s="3"/>
      <c r="F20" s="3"/>
      <c r="G20" s="3"/>
      <c r="H20" s="3"/>
      <c r="I20" s="3"/>
      <c r="J20" s="3"/>
    </row>
    <row r="21" ht="15.75" customHeight="1">
      <c r="A21" s="3" t="str">
        <f t="shared" si="1"/>
        <v/>
      </c>
      <c r="B21" s="3"/>
      <c r="C21" s="3"/>
      <c r="D21" s="3"/>
      <c r="E21" s="3"/>
      <c r="F21" s="3"/>
      <c r="G21" s="3"/>
      <c r="H21" s="3"/>
      <c r="I21" s="3"/>
      <c r="J21" s="3"/>
    </row>
    <row r="22" ht="15.75" customHeight="1">
      <c r="A22" s="3" t="str">
        <f t="shared" si="1"/>
        <v/>
      </c>
      <c r="B22" s="3"/>
      <c r="C22" s="3"/>
      <c r="D22" s="3"/>
      <c r="E22" s="3"/>
      <c r="F22" s="3"/>
      <c r="G22" s="3"/>
      <c r="H22" s="3"/>
      <c r="I22" s="3"/>
      <c r="J22" s="3"/>
    </row>
    <row r="23" ht="15.75" customHeight="1">
      <c r="A23" s="3" t="str">
        <f t="shared" si="1"/>
        <v/>
      </c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>
      <c r="A24" s="3" t="str">
        <f t="shared" si="1"/>
        <v/>
      </c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3" t="str">
        <f t="shared" si="1"/>
        <v/>
      </c>
      <c r="B25" s="3"/>
      <c r="C25" s="3"/>
      <c r="D25" s="3"/>
      <c r="E25" s="3"/>
      <c r="F25" s="3"/>
      <c r="G25" s="3"/>
      <c r="H25" s="3"/>
      <c r="I25" s="3"/>
      <c r="J25" s="3"/>
    </row>
    <row r="26" ht="15.75" customHeight="1">
      <c r="A26" s="3" t="str">
        <f t="shared" si="1"/>
        <v/>
      </c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>
      <c r="A27" s="3" t="str">
        <f t="shared" si="1"/>
        <v/>
      </c>
      <c r="B27" s="3"/>
      <c r="C27" s="3"/>
      <c r="D27" s="3"/>
      <c r="E27" s="3"/>
      <c r="F27" s="3"/>
      <c r="G27" s="3"/>
      <c r="H27" s="3"/>
      <c r="I27" s="3"/>
      <c r="J27" s="3"/>
    </row>
    <row r="28" ht="15.75" customHeight="1">
      <c r="A28" s="3" t="str">
        <f t="shared" si="1"/>
        <v/>
      </c>
      <c r="B28" s="3"/>
      <c r="C28" s="3"/>
      <c r="D28" s="3"/>
      <c r="E28" s="3"/>
      <c r="F28" s="3"/>
      <c r="G28" s="3"/>
      <c r="H28" s="3"/>
      <c r="I28" s="3"/>
      <c r="J28" s="3"/>
    </row>
    <row r="29" ht="15.75" customHeight="1">
      <c r="A29" s="3" t="str">
        <f t="shared" si="1"/>
        <v/>
      </c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>
      <c r="A30" s="3" t="str">
        <f t="shared" si="1"/>
        <v/>
      </c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 t="str">
        <f t="shared" si="1"/>
        <v/>
      </c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 t="str">
        <f t="shared" si="1"/>
        <v/>
      </c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 t="str">
        <f t="shared" si="1"/>
        <v/>
      </c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 t="str">
        <f t="shared" si="1"/>
        <v/>
      </c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 t="str">
        <f t="shared" si="1"/>
        <v/>
      </c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 t="str">
        <f t="shared" si="1"/>
        <v/>
      </c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 t="str">
        <f t="shared" si="1"/>
        <v/>
      </c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 t="str">
        <f t="shared" si="1"/>
        <v/>
      </c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 t="str">
        <f t="shared" si="1"/>
        <v/>
      </c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 t="str">
        <f t="shared" si="1"/>
        <v/>
      </c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 t="str">
        <f t="shared" si="1"/>
        <v/>
      </c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 t="str">
        <f t="shared" si="1"/>
        <v/>
      </c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 t="str">
        <f t="shared" si="1"/>
        <v/>
      </c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 t="str">
        <f t="shared" si="1"/>
        <v/>
      </c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 t="str">
        <f t="shared" si="1"/>
        <v/>
      </c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 t="str">
        <f t="shared" si="1"/>
        <v/>
      </c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 t="str">
        <f t="shared" si="1"/>
        <v/>
      </c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 t="str">
        <f t="shared" si="1"/>
        <v/>
      </c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 t="str">
        <f t="shared" si="1"/>
        <v/>
      </c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 t="str">
        <f t="shared" si="1"/>
        <v/>
      </c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 t="str">
        <f t="shared" si="1"/>
        <v/>
      </c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 t="str">
        <f t="shared" si="1"/>
        <v/>
      </c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 t="str">
        <f t="shared" si="1"/>
        <v/>
      </c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 t="str">
        <f t="shared" si="1"/>
        <v/>
      </c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 t="str">
        <f t="shared" si="1"/>
        <v/>
      </c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 t="str">
        <f t="shared" si="1"/>
        <v/>
      </c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 t="str">
        <f t="shared" si="1"/>
        <v/>
      </c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 t="str">
        <f t="shared" si="1"/>
        <v/>
      </c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 t="str">
        <f t="shared" si="1"/>
        <v/>
      </c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 t="str">
        <f t="shared" si="1"/>
        <v/>
      </c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 t="str">
        <f t="shared" si="1"/>
        <v/>
      </c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 t="str">
        <f t="shared" si="1"/>
        <v/>
      </c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 t="str">
        <f t="shared" si="1"/>
        <v/>
      </c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 t="str">
        <f t="shared" si="1"/>
        <v/>
      </c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 t="str">
        <f t="shared" si="1"/>
        <v/>
      </c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 t="str">
        <f t="shared" si="1"/>
        <v/>
      </c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 t="str">
        <f t="shared" si="1"/>
        <v/>
      </c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 t="str">
        <f t="shared" si="1"/>
        <v/>
      </c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 t="str">
        <f t="shared" si="1"/>
        <v/>
      </c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 t="str">
        <f t="shared" si="1"/>
        <v/>
      </c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 t="str">
        <f t="shared" si="1"/>
        <v/>
      </c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 t="str">
        <f t="shared" si="1"/>
        <v/>
      </c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 t="str">
        <f t="shared" si="1"/>
        <v/>
      </c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 t="str">
        <f t="shared" si="1"/>
        <v/>
      </c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 t="str">
        <f t="shared" si="1"/>
        <v/>
      </c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 t="str">
        <f t="shared" si="1"/>
        <v/>
      </c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 t="str">
        <f t="shared" si="1"/>
        <v/>
      </c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 t="str">
        <f t="shared" si="1"/>
        <v/>
      </c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 t="str">
        <f t="shared" si="1"/>
        <v/>
      </c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 t="str">
        <f t="shared" si="1"/>
        <v/>
      </c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 t="str">
        <f t="shared" si="1"/>
        <v/>
      </c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 t="str">
        <f t="shared" si="1"/>
        <v/>
      </c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 t="str">
        <f t="shared" si="1"/>
        <v/>
      </c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 t="str">
        <f t="shared" si="1"/>
        <v/>
      </c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 t="str">
        <f t="shared" si="1"/>
        <v/>
      </c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 t="str">
        <f t="shared" si="1"/>
        <v/>
      </c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 t="str">
        <f t="shared" si="1"/>
        <v/>
      </c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 t="str">
        <f t="shared" si="1"/>
        <v/>
      </c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 t="str">
        <f t="shared" si="1"/>
        <v/>
      </c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 t="str">
        <f t="shared" si="1"/>
        <v/>
      </c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 t="str">
        <f t="shared" si="1"/>
        <v/>
      </c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 t="str">
        <f t="shared" si="1"/>
        <v/>
      </c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 t="str">
        <f t="shared" si="1"/>
        <v/>
      </c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 t="str">
        <f t="shared" si="1"/>
        <v/>
      </c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 t="str">
        <f t="shared" si="1"/>
        <v/>
      </c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 t="str">
        <f t="shared" si="1"/>
        <v/>
      </c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 t="str">
        <f t="shared" si="1"/>
        <v/>
      </c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 t="str">
        <f t="shared" si="1"/>
        <v/>
      </c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 t="str">
        <f t="shared" si="1"/>
        <v/>
      </c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 t="str">
        <f t="shared" si="1"/>
        <v/>
      </c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 t="str">
        <f t="shared" si="1"/>
        <v/>
      </c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 t="str">
        <f t="shared" si="1"/>
        <v/>
      </c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 t="str">
        <f t="shared" si="1"/>
        <v/>
      </c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 t="str">
        <f t="shared" si="1"/>
        <v/>
      </c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 t="str">
        <f t="shared" si="1"/>
        <v/>
      </c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 t="str">
        <f t="shared" si="1"/>
        <v/>
      </c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 t="str">
        <f t="shared" si="1"/>
        <v/>
      </c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 t="str">
        <f t="shared" si="1"/>
        <v/>
      </c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 t="str">
        <f t="shared" si="1"/>
        <v/>
      </c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 t="str">
        <f t="shared" si="1"/>
        <v/>
      </c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 t="str">
        <f t="shared" si="1"/>
        <v/>
      </c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 t="str">
        <f t="shared" si="1"/>
        <v/>
      </c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 t="str">
        <f t="shared" si="1"/>
        <v/>
      </c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 t="str">
        <f t="shared" si="1"/>
        <v/>
      </c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 t="str">
        <f t="shared" si="1"/>
        <v/>
      </c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 t="str">
        <f t="shared" si="1"/>
        <v/>
      </c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 t="str">
        <f t="shared" si="1"/>
        <v/>
      </c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 t="str">
        <f t="shared" si="1"/>
        <v/>
      </c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 t="str">
        <f t="shared" si="1"/>
        <v/>
      </c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 t="str">
        <f t="shared" si="1"/>
        <v/>
      </c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 t="str">
        <f t="shared" si="1"/>
        <v/>
      </c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 t="str">
        <f t="shared" si="1"/>
        <v/>
      </c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 t="str">
        <f t="shared" si="1"/>
        <v/>
      </c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 t="str">
        <f t="shared" si="1"/>
        <v/>
      </c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 t="str">
        <f t="shared" si="1"/>
        <v/>
      </c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 t="str">
        <f t="shared" si="1"/>
        <v/>
      </c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 t="str">
        <f t="shared" si="1"/>
        <v/>
      </c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 t="str">
        <f t="shared" si="1"/>
        <v/>
      </c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 t="str">
        <f t="shared" si="1"/>
        <v/>
      </c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 t="str">
        <f t="shared" si="1"/>
        <v/>
      </c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 t="str">
        <f t="shared" si="1"/>
        <v/>
      </c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 t="str">
        <f t="shared" si="1"/>
        <v/>
      </c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 t="str">
        <f t="shared" si="1"/>
        <v/>
      </c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 t="str">
        <f t="shared" si="1"/>
        <v/>
      </c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 t="str">
        <f t="shared" si="1"/>
        <v/>
      </c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 t="str">
        <f t="shared" si="1"/>
        <v/>
      </c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 t="str">
        <f t="shared" si="1"/>
        <v/>
      </c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 t="str">
        <f t="shared" si="1"/>
        <v/>
      </c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 t="str">
        <f t="shared" si="1"/>
        <v/>
      </c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 t="str">
        <f t="shared" si="1"/>
        <v/>
      </c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 t="str">
        <f t="shared" si="1"/>
        <v/>
      </c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 t="str">
        <f t="shared" si="1"/>
        <v/>
      </c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 t="str">
        <f t="shared" si="1"/>
        <v/>
      </c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 t="str">
        <f t="shared" si="1"/>
        <v/>
      </c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 t="str">
        <f t="shared" si="1"/>
        <v/>
      </c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 t="str">
        <f t="shared" si="1"/>
        <v/>
      </c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 t="str">
        <f t="shared" si="1"/>
        <v/>
      </c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 t="str">
        <f t="shared" si="1"/>
        <v/>
      </c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 t="str">
        <f t="shared" si="1"/>
        <v/>
      </c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 t="str">
        <f t="shared" si="1"/>
        <v/>
      </c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 t="str">
        <f t="shared" si="1"/>
        <v/>
      </c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 t="str">
        <f t="shared" si="1"/>
        <v/>
      </c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 t="str">
        <f t="shared" si="1"/>
        <v/>
      </c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 t="str">
        <f t="shared" si="1"/>
        <v/>
      </c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 t="str">
        <f t="shared" si="1"/>
        <v/>
      </c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 t="str">
        <f t="shared" si="1"/>
        <v/>
      </c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 t="str">
        <f t="shared" si="1"/>
        <v/>
      </c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 t="str">
        <f t="shared" si="1"/>
        <v/>
      </c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 t="str">
        <f t="shared" si="1"/>
        <v/>
      </c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 t="str">
        <f t="shared" si="1"/>
        <v/>
      </c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 t="str">
        <f t="shared" si="1"/>
        <v/>
      </c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 t="str">
        <f t="shared" si="1"/>
        <v/>
      </c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 t="str">
        <f t="shared" si="1"/>
        <v/>
      </c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 t="str">
        <f t="shared" si="1"/>
        <v/>
      </c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 t="str">
        <f t="shared" si="1"/>
        <v/>
      </c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 t="str">
        <f t="shared" si="1"/>
        <v/>
      </c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 t="str">
        <f t="shared" si="1"/>
        <v/>
      </c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 t="str">
        <f t="shared" si="1"/>
        <v/>
      </c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 t="str">
        <f t="shared" si="1"/>
        <v/>
      </c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 t="str">
        <f t="shared" si="1"/>
        <v/>
      </c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 t="str">
        <f t="shared" si="1"/>
        <v/>
      </c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 t="str">
        <f t="shared" si="1"/>
        <v/>
      </c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 t="str">
        <f t="shared" si="1"/>
        <v/>
      </c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 t="str">
        <f t="shared" si="1"/>
        <v/>
      </c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 t="str">
        <f t="shared" si="1"/>
        <v/>
      </c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 t="str">
        <f t="shared" si="1"/>
        <v/>
      </c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 t="str">
        <f t="shared" si="1"/>
        <v/>
      </c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 t="str">
        <f t="shared" si="1"/>
        <v/>
      </c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 t="str">
        <f t="shared" si="1"/>
        <v/>
      </c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 t="str">
        <f t="shared" si="1"/>
        <v/>
      </c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 t="str">
        <f t="shared" si="1"/>
        <v/>
      </c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 t="str">
        <f t="shared" si="1"/>
        <v/>
      </c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 t="str">
        <f t="shared" si="1"/>
        <v/>
      </c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 t="str">
        <f t="shared" si="1"/>
        <v/>
      </c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 t="str">
        <f t="shared" si="1"/>
        <v/>
      </c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 t="str">
        <f t="shared" si="1"/>
        <v/>
      </c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 t="str">
        <f t="shared" si="1"/>
        <v/>
      </c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 t="str">
        <f t="shared" si="1"/>
        <v/>
      </c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 t="str">
        <f t="shared" si="1"/>
        <v/>
      </c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 t="str">
        <f t="shared" si="1"/>
        <v/>
      </c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 t="str">
        <f t="shared" si="1"/>
        <v/>
      </c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 t="str">
        <f t="shared" si="1"/>
        <v/>
      </c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 t="str">
        <f t="shared" si="1"/>
        <v/>
      </c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 t="str">
        <f t="shared" si="1"/>
        <v/>
      </c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 t="str">
        <f t="shared" si="1"/>
        <v/>
      </c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 t="str">
        <f t="shared" si="1"/>
        <v/>
      </c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 t="str">
        <f t="shared" si="1"/>
        <v/>
      </c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 t="str">
        <f t="shared" si="1"/>
        <v/>
      </c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 t="str">
        <f t="shared" si="1"/>
        <v/>
      </c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 t="str">
        <f t="shared" si="1"/>
        <v/>
      </c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 t="str">
        <f t="shared" si="1"/>
        <v/>
      </c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 t="str">
        <f t="shared" si="1"/>
        <v/>
      </c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 t="str">
        <f t="shared" si="1"/>
        <v/>
      </c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 t="str">
        <f t="shared" si="1"/>
        <v/>
      </c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 t="str">
        <f t="shared" si="1"/>
        <v/>
      </c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 t="str">
        <f t="shared" si="1"/>
        <v/>
      </c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 t="str">
        <f t="shared" si="1"/>
        <v/>
      </c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 t="str">
        <f t="shared" si="1"/>
        <v/>
      </c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 t="str">
        <f t="shared" si="1"/>
        <v/>
      </c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 t="str">
        <f t="shared" si="1"/>
        <v/>
      </c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 t="str">
        <f t="shared" si="1"/>
        <v/>
      </c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 t="str">
        <f t="shared" si="1"/>
        <v/>
      </c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 t="str">
        <f t="shared" si="1"/>
        <v/>
      </c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 t="str">
        <f t="shared" si="1"/>
        <v/>
      </c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 t="str">
        <f t="shared" si="1"/>
        <v/>
      </c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 t="str">
        <f t="shared" si="1"/>
        <v/>
      </c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 t="str">
        <f t="shared" si="1"/>
        <v/>
      </c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 t="str">
        <f t="shared" si="1"/>
        <v/>
      </c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 t="str">
        <f t="shared" si="1"/>
        <v/>
      </c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 t="str">
        <f t="shared" si="1"/>
        <v/>
      </c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 t="str">
        <f t="shared" si="1"/>
        <v/>
      </c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 t="str">
        <f t="shared" si="1"/>
        <v/>
      </c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 t="str">
        <f t="shared" si="1"/>
        <v/>
      </c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 t="str">
        <f t="shared" si="1"/>
        <v/>
      </c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 t="str">
        <f t="shared" si="1"/>
        <v/>
      </c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 t="str">
        <f t="shared" si="1"/>
        <v/>
      </c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 t="str">
        <f t="shared" si="1"/>
        <v/>
      </c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 t="str">
        <f t="shared" si="1"/>
        <v/>
      </c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 t="str">
        <f t="shared" si="1"/>
        <v/>
      </c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 t="str">
        <f t="shared" si="1"/>
        <v/>
      </c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 t="str">
        <f t="shared" si="1"/>
        <v/>
      </c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 t="str">
        <f t="shared" si="1"/>
        <v/>
      </c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 t="str">
        <f t="shared" si="1"/>
        <v/>
      </c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 t="str">
        <f t="shared" si="1"/>
        <v/>
      </c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 t="str">
        <f t="shared" si="1"/>
        <v/>
      </c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 t="str">
        <f t="shared" si="1"/>
        <v/>
      </c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 t="str">
        <f t="shared" si="1"/>
        <v/>
      </c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 t="str">
        <f t="shared" si="1"/>
        <v/>
      </c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 t="str">
        <f t="shared" si="1"/>
        <v/>
      </c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 t="str">
        <f t="shared" si="1"/>
        <v/>
      </c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 t="str">
        <f t="shared" si="1"/>
        <v/>
      </c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 t="str">
        <f t="shared" si="1"/>
        <v/>
      </c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 t="str">
        <f t="shared" si="1"/>
        <v/>
      </c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 t="str">
        <f t="shared" si="1"/>
        <v/>
      </c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 t="str">
        <f t="shared" si="1"/>
        <v/>
      </c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 t="str">
        <f t="shared" si="1"/>
        <v/>
      </c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 t="str">
        <f t="shared" si="1"/>
        <v/>
      </c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 t="str">
        <f t="shared" si="1"/>
        <v/>
      </c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 t="str">
        <f t="shared" si="1"/>
        <v/>
      </c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 t="str">
        <f t="shared" si="1"/>
        <v/>
      </c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 t="str">
        <f t="shared" si="1"/>
        <v/>
      </c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 t="str">
        <f t="shared" si="1"/>
        <v/>
      </c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 t="str">
        <f t="shared" si="1"/>
        <v/>
      </c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 t="str">
        <f t="shared" si="1"/>
        <v/>
      </c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 t="str">
        <f t="shared" si="1"/>
        <v/>
      </c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 t="str">
        <f t="shared" si="1"/>
        <v/>
      </c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 t="str">
        <f t="shared" si="1"/>
        <v/>
      </c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 t="str">
        <f t="shared" si="1"/>
        <v/>
      </c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 t="str">
        <f t="shared" si="1"/>
        <v/>
      </c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 t="str">
        <f t="shared" si="1"/>
        <v/>
      </c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 t="str">
        <f t="shared" si="1"/>
        <v/>
      </c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 t="str">
        <f t="shared" si="1"/>
        <v/>
      </c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 t="str">
        <f t="shared" si="1"/>
        <v/>
      </c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 t="str">
        <f t="shared" si="1"/>
        <v/>
      </c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 t="str">
        <f t="shared" si="1"/>
        <v/>
      </c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 t="str">
        <f t="shared" si="1"/>
        <v/>
      </c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 t="str">
        <f t="shared" si="1"/>
        <v/>
      </c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 t="str">
        <f t="shared" si="1"/>
        <v/>
      </c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 t="str">
        <f t="shared" si="1"/>
        <v/>
      </c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 t="str">
        <f t="shared" si="1"/>
        <v/>
      </c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 t="str">
        <f t="shared" si="1"/>
        <v/>
      </c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 t="str">
        <f t="shared" si="1"/>
        <v/>
      </c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 t="str">
        <f t="shared" si="1"/>
        <v/>
      </c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 t="str">
        <f t="shared" si="1"/>
        <v/>
      </c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 t="str">
        <f t="shared" si="1"/>
        <v/>
      </c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 t="str">
        <f t="shared" si="1"/>
        <v/>
      </c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 t="str">
        <f t="shared" si="1"/>
        <v/>
      </c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 t="str">
        <f t="shared" si="1"/>
        <v/>
      </c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 t="str">
        <f t="shared" si="1"/>
        <v/>
      </c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 t="str">
        <f t="shared" si="1"/>
        <v/>
      </c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 t="str">
        <f t="shared" si="1"/>
        <v/>
      </c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 t="str">
        <f t="shared" si="1"/>
        <v/>
      </c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 t="str">
        <f t="shared" si="1"/>
        <v/>
      </c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 t="str">
        <f t="shared" si="1"/>
        <v/>
      </c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 t="str">
        <f t="shared" si="1"/>
        <v/>
      </c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 t="str">
        <f t="shared" si="1"/>
        <v/>
      </c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 t="str">
        <f t="shared" si="1"/>
        <v/>
      </c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 t="str">
        <f t="shared" si="1"/>
        <v/>
      </c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 t="str">
        <f t="shared" si="1"/>
        <v/>
      </c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 t="str">
        <f t="shared" si="1"/>
        <v/>
      </c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 t="str">
        <f t="shared" si="1"/>
        <v/>
      </c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 t="str">
        <f t="shared" si="1"/>
        <v/>
      </c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 t="str">
        <f t="shared" si="1"/>
        <v/>
      </c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 t="str">
        <f t="shared" si="1"/>
        <v/>
      </c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 t="str">
        <f t="shared" si="1"/>
        <v/>
      </c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 t="str">
        <f t="shared" si="1"/>
        <v/>
      </c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 t="str">
        <f t="shared" si="1"/>
        <v/>
      </c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 t="str">
        <f t="shared" si="1"/>
        <v/>
      </c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 t="str">
        <f t="shared" si="1"/>
        <v/>
      </c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 t="str">
        <f t="shared" si="1"/>
        <v/>
      </c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 t="str">
        <f t="shared" si="1"/>
        <v/>
      </c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 t="str">
        <f t="shared" si="1"/>
        <v/>
      </c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 t="str">
        <f t="shared" si="1"/>
        <v/>
      </c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 t="str">
        <f t="shared" si="1"/>
        <v/>
      </c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L1:M1"/>
    <mergeCell ref="A2:J2"/>
  </mergeCells>
  <dataValidations>
    <dataValidation type="list" allowBlank="1" sqref="F5:F304">
      <formula1>"Chrome,Edge,Firefox,Opera,N/A"</formula1>
    </dataValidation>
    <dataValidation type="list" allowBlank="1" sqref="H5:H304">
      <formula1>"Open,In Progress,Resolved,Closed,Deferred,Not a Defect"</formula1>
    </dataValidation>
    <dataValidation type="list" allowBlank="1" sqref="C5:C304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type="list" allowBlank="1" sqref="E5:E304">
      <formula1>"N/A,standard_user,locked_out_user,problem_user,performance_glitch_user,error_user,visual_user,Multiple Relevant Users,All Applicable Users,Representative User"</formula1>
    </dataValidation>
    <dataValidation type="list" allowBlank="1" sqref="G5:G304">
      <formula1>"Critical,High,Medium,Low"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.0"/>
    <col customWidth="1" min="3" max="7" width="13.0"/>
    <col customWidth="1" min="8" max="8" width="20.0"/>
    <col customWidth="1" min="9" max="13" width="15.0"/>
    <col customWidth="1" min="14" max="26" width="8.63"/>
  </cols>
  <sheetData>
    <row r="1">
      <c r="A1" s="10" t="s">
        <v>1176</v>
      </c>
    </row>
    <row r="2">
      <c r="A2" s="6" t="s">
        <v>1177</v>
      </c>
    </row>
    <row r="4">
      <c r="A4" s="11" t="s">
        <v>106</v>
      </c>
      <c r="B4" s="11" t="s">
        <v>1178</v>
      </c>
      <c r="C4" s="11" t="s">
        <v>1179</v>
      </c>
      <c r="D4" s="11" t="s">
        <v>32</v>
      </c>
      <c r="E4" s="11" t="s">
        <v>34</v>
      </c>
      <c r="F4" s="11" t="s">
        <v>1</v>
      </c>
      <c r="G4" s="11" t="s">
        <v>37</v>
      </c>
      <c r="H4" s="11" t="s">
        <v>1180</v>
      </c>
      <c r="I4" s="11" t="s">
        <v>1181</v>
      </c>
      <c r="J4" s="11" t="s">
        <v>1182</v>
      </c>
      <c r="K4" s="11" t="s">
        <v>1183</v>
      </c>
      <c r="L4" s="11" t="s">
        <v>1184</v>
      </c>
      <c r="M4" s="11" t="s">
        <v>1185</v>
      </c>
    </row>
    <row r="5">
      <c r="A5" s="9" t="s">
        <v>41</v>
      </c>
      <c r="B5" s="9" t="s">
        <v>40</v>
      </c>
      <c r="C5" s="13">
        <f>COUNTIF('Login &amp; Session - TC'!$A$4:$A$500,"&lt;&gt;")</f>
        <v>40</v>
      </c>
      <c r="D5" s="13">
        <f>COUNTIF('Login &amp; Session - TC'!$B$4:$B$500,"Unit")</f>
        <v>19</v>
      </c>
      <c r="E5" s="13">
        <f>COUNTIF('Login &amp; Session - TC'!$B$4:$B$500,"Integration")</f>
        <v>0</v>
      </c>
      <c r="F5" s="13">
        <f>COUNTIF('Login &amp; Session - TC'!$B$4:$B$500,"System")</f>
        <v>20</v>
      </c>
      <c r="G5" s="13">
        <f>COUNTIF('Login &amp; Session - TC'!$B$4:$B$500,"UAT")</f>
        <v>1</v>
      </c>
      <c r="H5" s="13">
        <f>COUNTIF('Login &amp; Session - TC'!$K$4:$K$500,"Standard feature expectation; may expose an absent capability in the current demo.")+COUNTIF('Login &amp; Session - TC'!$K$4:$K$500,"Standard login/security expectation; included even if not explicitly implemented.")</f>
        <v>8</v>
      </c>
      <c r="I5" s="13">
        <f>COUNTIF('Test Execution Log'!$C$5:$C$1004,"Login &amp; Session")</f>
        <v>0</v>
      </c>
      <c r="J5" s="13">
        <f>COUNTIFS('Test Execution Log'!$C$5:$C$1004,"Login &amp; Session",'Test Execution Log'!$G$5:$G$1004,"Passed")</f>
        <v>0</v>
      </c>
      <c r="K5" s="13">
        <f>COUNTIFS('Test Execution Log'!$C$5:$C$1004,"Login &amp; Session",'Test Execution Log'!$G$5:$G$1004,"Failed")</f>
        <v>0</v>
      </c>
      <c r="L5" s="13">
        <f>COUNTIFS('Test Execution Log'!$C$5:$C$1004,"Login &amp; Session",'Test Execution Log'!$G$5:$G$1004,"Blocked")</f>
        <v>0</v>
      </c>
      <c r="M5" s="13">
        <f>COUNTIFS('Defect Summary'!$C$5:$C$304,"Login &amp; Session",'Defect Summary'!$H$5:$H$304,"&lt;&gt;Closed",'Defect Summary'!$B$5:$B$304,"&lt;&gt;")</f>
        <v>0</v>
      </c>
    </row>
    <row r="6">
      <c r="A6" s="9" t="s">
        <v>43</v>
      </c>
      <c r="B6" s="9" t="s">
        <v>42</v>
      </c>
      <c r="C6" s="13">
        <f>COUNTIF('Product Listing - TC'!$A$4:$A$500,"&lt;&gt;")</f>
        <v>24</v>
      </c>
      <c r="D6" s="13">
        <f>COUNTIF('Product Listing - TC'!$B$4:$B$500,"Unit")</f>
        <v>10</v>
      </c>
      <c r="E6" s="13">
        <f>COUNTIF('Product Listing - TC'!$B$4:$B$500,"Integration")</f>
        <v>2</v>
      </c>
      <c r="F6" s="13">
        <f>COUNTIF('Product Listing - TC'!$B$4:$B$500,"System")</f>
        <v>11</v>
      </c>
      <c r="G6" s="13">
        <f>COUNTIF('Product Listing - TC'!$B$4:$B$500,"UAT")</f>
        <v>1</v>
      </c>
      <c r="H6" s="13">
        <f>COUNTIF('Product Listing - TC'!$K$4:$K$500,"Standard feature expectation; may expose an absent capability in the current demo.")+COUNTIF('Product Listing - TC'!$K$4:$K$500,"Standard login/security expectation; included even if not explicitly implemented.")</f>
        <v>3</v>
      </c>
      <c r="I6" s="13">
        <f>COUNTIF('Test Execution Log'!$C$5:$C$1004,"Product Listing")</f>
        <v>0</v>
      </c>
      <c r="J6" s="13">
        <f>COUNTIFS('Test Execution Log'!$C$5:$C$1004,"Product Listing",'Test Execution Log'!$G$5:$G$1004,"Passed")</f>
        <v>0</v>
      </c>
      <c r="K6" s="13">
        <f>COUNTIFS('Test Execution Log'!$C$5:$C$1004,"Product Listing",'Test Execution Log'!$G$5:$G$1004,"Failed")</f>
        <v>0</v>
      </c>
      <c r="L6" s="13">
        <f>COUNTIFS('Test Execution Log'!$C$5:$C$1004,"Product Listing",'Test Execution Log'!$G$5:$G$1004,"Blocked")</f>
        <v>0</v>
      </c>
      <c r="M6" s="13">
        <f>COUNTIFS('Defect Summary'!$C$5:$C$304,"Product Listing",'Defect Summary'!$H$5:$H$304,"&lt;&gt;Closed",'Defect Summary'!$B$5:$B$304,"&lt;&gt;")</f>
        <v>0</v>
      </c>
    </row>
    <row r="7">
      <c r="A7" s="9" t="s">
        <v>45</v>
      </c>
      <c r="B7" s="9" t="s">
        <v>44</v>
      </c>
      <c r="C7" s="13">
        <f>COUNTIF('Product Sorting - TC'!$A$4:$A$500,"&lt;&gt;")</f>
        <v>14</v>
      </c>
      <c r="D7" s="13">
        <f>COUNTIF('Product Sorting - TC'!$B$4:$B$500,"Unit")</f>
        <v>5</v>
      </c>
      <c r="E7" s="13">
        <f>COUNTIF('Product Sorting - TC'!$B$4:$B$500,"Integration")</f>
        <v>3</v>
      </c>
      <c r="F7" s="13">
        <f>COUNTIF('Product Sorting - TC'!$B$4:$B$500,"System")</f>
        <v>5</v>
      </c>
      <c r="G7" s="13">
        <f>COUNTIF('Product Sorting - TC'!$B$4:$B$500,"UAT")</f>
        <v>1</v>
      </c>
      <c r="H7" s="13">
        <f>COUNTIF('Product Sorting - TC'!$K$4:$K$500,"Standard feature expectation; may expose an absent capability in the current demo.")+COUNTIF('Product Sorting - TC'!$K$4:$K$500,"Standard login/security expectation; included even if not explicitly implemented.")</f>
        <v>0</v>
      </c>
      <c r="I7" s="13">
        <f>COUNTIF('Test Execution Log'!$C$5:$C$1004,"Product Sorting")</f>
        <v>0</v>
      </c>
      <c r="J7" s="13">
        <f>COUNTIFS('Test Execution Log'!$C$5:$C$1004,"Product Sorting",'Test Execution Log'!$G$5:$G$1004,"Passed")</f>
        <v>0</v>
      </c>
      <c r="K7" s="13">
        <f>COUNTIFS('Test Execution Log'!$C$5:$C$1004,"Product Sorting",'Test Execution Log'!$G$5:$G$1004,"Failed")</f>
        <v>0</v>
      </c>
      <c r="L7" s="13">
        <f>COUNTIFS('Test Execution Log'!$C$5:$C$1004,"Product Sorting",'Test Execution Log'!$G$5:$G$1004,"Blocked")</f>
        <v>0</v>
      </c>
      <c r="M7" s="13">
        <f>COUNTIFS('Defect Summary'!$C$5:$C$304,"Product Sorting",'Defect Summary'!$H$5:$H$304,"&lt;&gt;Closed",'Defect Summary'!$B$5:$B$304,"&lt;&gt;")</f>
        <v>0</v>
      </c>
    </row>
    <row r="8">
      <c r="A8" s="9" t="s">
        <v>47</v>
      </c>
      <c r="B8" s="9" t="s">
        <v>46</v>
      </c>
      <c r="C8" s="13">
        <f>COUNTIF('Product Detail - TC'!$A$4:$A$500,"&lt;&gt;")</f>
        <v>16</v>
      </c>
      <c r="D8" s="13">
        <f>COUNTIF('Product Detail - TC'!$B$4:$B$500,"Unit")</f>
        <v>6</v>
      </c>
      <c r="E8" s="13">
        <f>COUNTIF('Product Detail - TC'!$B$4:$B$500,"Integration")</f>
        <v>4</v>
      </c>
      <c r="F8" s="13">
        <f>COUNTIF('Product Detail - TC'!$B$4:$B$500,"System")</f>
        <v>5</v>
      </c>
      <c r="G8" s="13">
        <f>COUNTIF('Product Detail - TC'!$B$4:$B$500,"UAT")</f>
        <v>1</v>
      </c>
      <c r="H8" s="13">
        <f>COUNTIF('Product Detail - TC'!$K$4:$K$500,"Standard feature expectation; may expose an absent capability in the current demo.")+COUNTIF('Product Detail - TC'!$K$4:$K$500,"Standard login/security expectation; included even if not explicitly implemented.")</f>
        <v>1</v>
      </c>
      <c r="I8" s="13">
        <f>COUNTIF('Test Execution Log'!$C$5:$C$1004,"Product Detail")</f>
        <v>0</v>
      </c>
      <c r="J8" s="13">
        <f>COUNTIFS('Test Execution Log'!$C$5:$C$1004,"Product Detail",'Test Execution Log'!$G$5:$G$1004,"Passed")</f>
        <v>0</v>
      </c>
      <c r="K8" s="13">
        <f>COUNTIFS('Test Execution Log'!$C$5:$C$1004,"Product Detail",'Test Execution Log'!$G$5:$G$1004,"Failed")</f>
        <v>0</v>
      </c>
      <c r="L8" s="13">
        <f>COUNTIFS('Test Execution Log'!$C$5:$C$1004,"Product Detail",'Test Execution Log'!$G$5:$G$1004,"Blocked")</f>
        <v>0</v>
      </c>
      <c r="M8" s="13">
        <f>COUNTIFS('Defect Summary'!$C$5:$C$304,"Product Detail",'Defect Summary'!$H$5:$H$304,"&lt;&gt;Closed",'Defect Summary'!$B$5:$B$304,"&lt;&gt;")</f>
        <v>0</v>
      </c>
    </row>
    <row r="9">
      <c r="A9" s="9" t="s">
        <v>49</v>
      </c>
      <c r="B9" s="9" t="s">
        <v>48</v>
      </c>
      <c r="C9" s="13">
        <f>COUNTIF('Cart - TC'!$A$4:$A$500,"&lt;&gt;")</f>
        <v>22</v>
      </c>
      <c r="D9" s="13">
        <f>COUNTIF('Cart - TC'!$B$4:$B$500,"Unit")</f>
        <v>8</v>
      </c>
      <c r="E9" s="13">
        <f>COUNTIF('Cart - TC'!$B$4:$B$500,"Integration")</f>
        <v>2</v>
      </c>
      <c r="F9" s="13">
        <f>COUNTIF('Cart - TC'!$B$4:$B$500,"System")</f>
        <v>10</v>
      </c>
      <c r="G9" s="13">
        <f>COUNTIF('Cart - TC'!$B$4:$B$500,"UAT")</f>
        <v>2</v>
      </c>
      <c r="H9" s="13">
        <f>COUNTIF('Cart - TC'!$K$4:$K$500,"Standard feature expectation; may expose an absent capability in the current demo.")+COUNTIF('Cart - TC'!$K$4:$K$500,"Standard login/security expectation; included even if not explicitly implemented.")</f>
        <v>1</v>
      </c>
      <c r="I9" s="13">
        <f>COUNTIF('Test Execution Log'!$C$5:$C$1004,"Cart")</f>
        <v>0</v>
      </c>
      <c r="J9" s="13">
        <f>COUNTIFS('Test Execution Log'!$C$5:$C$1004,"Cart",'Test Execution Log'!$G$5:$G$1004,"Passed")</f>
        <v>0</v>
      </c>
      <c r="K9" s="13">
        <f>COUNTIFS('Test Execution Log'!$C$5:$C$1004,"Cart",'Test Execution Log'!$G$5:$G$1004,"Failed")</f>
        <v>0</v>
      </c>
      <c r="L9" s="13">
        <f>COUNTIFS('Test Execution Log'!$C$5:$C$1004,"Cart",'Test Execution Log'!$G$5:$G$1004,"Blocked")</f>
        <v>0</v>
      </c>
      <c r="M9" s="13">
        <f>COUNTIFS('Defect Summary'!$C$5:$C$304,"Cart",'Defect Summary'!$H$5:$H$304,"&lt;&gt;Closed",'Defect Summary'!$B$5:$B$304,"&lt;&gt;")</f>
        <v>0</v>
      </c>
    </row>
    <row r="10">
      <c r="A10" s="9" t="s">
        <v>51</v>
      </c>
      <c r="B10" s="9" t="s">
        <v>50</v>
      </c>
      <c r="C10" s="13">
        <f>COUNTIF('Checkout Information - TC'!$A$4:$A$500,"&lt;&gt;")</f>
        <v>27</v>
      </c>
      <c r="D10" s="13">
        <f>COUNTIF('Checkout Information - TC'!$B$4:$B$500,"Unit")</f>
        <v>17</v>
      </c>
      <c r="E10" s="13">
        <f>COUNTIF('Checkout Information - TC'!$B$4:$B$500,"Integration")</f>
        <v>2</v>
      </c>
      <c r="F10" s="13">
        <f>COUNTIF('Checkout Information - TC'!$B$4:$B$500,"System")</f>
        <v>7</v>
      </c>
      <c r="G10" s="13">
        <f>COUNTIF('Checkout Information - TC'!$B$4:$B$500,"UAT")</f>
        <v>1</v>
      </c>
      <c r="H10" s="13">
        <f>COUNTIF('Checkout Information - TC'!$K$4:$K$500,"Standard feature expectation; may expose an absent capability in the current demo.")+COUNTIF('Checkout Information - TC'!$K$4:$K$500,"Standard login/security expectation; included even if not explicitly implemented.")</f>
        <v>2</v>
      </c>
      <c r="I10" s="13">
        <f>COUNTIF('Test Execution Log'!$C$5:$C$1004,"Checkout Information")</f>
        <v>0</v>
      </c>
      <c r="J10" s="13">
        <f>COUNTIFS('Test Execution Log'!$C$5:$C$1004,"Checkout Information",'Test Execution Log'!$G$5:$G$1004,"Passed")</f>
        <v>0</v>
      </c>
      <c r="K10" s="13">
        <f>COUNTIFS('Test Execution Log'!$C$5:$C$1004,"Checkout Information",'Test Execution Log'!$G$5:$G$1004,"Failed")</f>
        <v>0</v>
      </c>
      <c r="L10" s="13">
        <f>COUNTIFS('Test Execution Log'!$C$5:$C$1004,"Checkout Information",'Test Execution Log'!$G$5:$G$1004,"Blocked")</f>
        <v>0</v>
      </c>
      <c r="M10" s="13">
        <f>COUNTIFS('Defect Summary'!$C$5:$C$304,"Checkout Information",'Defect Summary'!$H$5:$H$304,"&lt;&gt;Closed",'Defect Summary'!$B$5:$B$304,"&lt;&gt;")</f>
        <v>0</v>
      </c>
    </row>
    <row r="11">
      <c r="A11" s="9" t="s">
        <v>53</v>
      </c>
      <c r="B11" s="9" t="s">
        <v>52</v>
      </c>
      <c r="C11" s="13">
        <f>COUNTIF('Checkout Overview - TC'!$A$4:$A$500,"&lt;&gt;")</f>
        <v>17</v>
      </c>
      <c r="D11" s="13">
        <f>COUNTIF('Checkout Overview - TC'!$B$4:$B$500,"Unit")</f>
        <v>12</v>
      </c>
      <c r="E11" s="13">
        <f>COUNTIF('Checkout Overview - TC'!$B$4:$B$500,"Integration")</f>
        <v>0</v>
      </c>
      <c r="F11" s="13">
        <f>COUNTIF('Checkout Overview - TC'!$B$4:$B$500,"System")</f>
        <v>3</v>
      </c>
      <c r="G11" s="13">
        <f>COUNTIF('Checkout Overview - TC'!$B$4:$B$500,"UAT")</f>
        <v>2</v>
      </c>
      <c r="H11" s="13">
        <f>COUNTIF('Checkout Overview - TC'!$K$4:$K$500,"Standard feature expectation; may expose an absent capability in the current demo.")+COUNTIF('Checkout Overview - TC'!$K$4:$K$500,"Standard login/security expectation; included even if not explicitly implemented.")</f>
        <v>0</v>
      </c>
      <c r="I11" s="13">
        <f>COUNTIF('Test Execution Log'!$C$5:$C$1004,"Checkout Overview")</f>
        <v>0</v>
      </c>
      <c r="J11" s="13">
        <f>COUNTIFS('Test Execution Log'!$C$5:$C$1004,"Checkout Overview",'Test Execution Log'!$G$5:$G$1004,"Passed")</f>
        <v>0</v>
      </c>
      <c r="K11" s="13">
        <f>COUNTIFS('Test Execution Log'!$C$5:$C$1004,"Checkout Overview",'Test Execution Log'!$G$5:$G$1004,"Failed")</f>
        <v>0</v>
      </c>
      <c r="L11" s="13">
        <f>COUNTIFS('Test Execution Log'!$C$5:$C$1004,"Checkout Overview",'Test Execution Log'!$G$5:$G$1004,"Blocked")</f>
        <v>0</v>
      </c>
      <c r="M11" s="13">
        <f>COUNTIFS('Defect Summary'!$C$5:$C$304,"Checkout Overview",'Defect Summary'!$H$5:$H$304,"&lt;&gt;Closed",'Defect Summary'!$B$5:$B$304,"&lt;&gt;")</f>
        <v>0</v>
      </c>
    </row>
    <row r="12">
      <c r="A12" s="9" t="s">
        <v>55</v>
      </c>
      <c r="B12" s="9" t="s">
        <v>54</v>
      </c>
      <c r="C12" s="13">
        <f>COUNTIF('Order Completion - TC'!$A$4:$A$500,"&lt;&gt;")</f>
        <v>9</v>
      </c>
      <c r="D12" s="13">
        <f>COUNTIF('Order Completion - TC'!$B$4:$B$500,"Unit")</f>
        <v>3</v>
      </c>
      <c r="E12" s="13">
        <f>COUNTIF('Order Completion - TC'!$B$4:$B$500,"Integration")</f>
        <v>0</v>
      </c>
      <c r="F12" s="13">
        <f>COUNTIF('Order Completion - TC'!$B$4:$B$500,"System")</f>
        <v>5</v>
      </c>
      <c r="G12" s="13">
        <f>COUNTIF('Order Completion - TC'!$B$4:$B$500,"UAT")</f>
        <v>1</v>
      </c>
      <c r="H12" s="13">
        <f>COUNTIF('Order Completion - TC'!$K$4:$K$500,"Standard feature expectation; may expose an absent capability in the current demo.")+COUNTIF('Order Completion - TC'!$K$4:$K$500,"Standard login/security expectation; included even if not explicitly implemented.")</f>
        <v>0</v>
      </c>
      <c r="I12" s="13">
        <f>COUNTIF('Test Execution Log'!$C$5:$C$1004,"Order Completion")</f>
        <v>0</v>
      </c>
      <c r="J12" s="13">
        <f>COUNTIFS('Test Execution Log'!$C$5:$C$1004,"Order Completion",'Test Execution Log'!$G$5:$G$1004,"Passed")</f>
        <v>0</v>
      </c>
      <c r="K12" s="13">
        <f>COUNTIFS('Test Execution Log'!$C$5:$C$1004,"Order Completion",'Test Execution Log'!$G$5:$G$1004,"Failed")</f>
        <v>0</v>
      </c>
      <c r="L12" s="13">
        <f>COUNTIFS('Test Execution Log'!$C$5:$C$1004,"Order Completion",'Test Execution Log'!$G$5:$G$1004,"Blocked")</f>
        <v>0</v>
      </c>
      <c r="M12" s="13">
        <f>COUNTIFS('Defect Summary'!$C$5:$C$304,"Order Completion",'Defect Summary'!$H$5:$H$304,"&lt;&gt;Closed",'Defect Summary'!$B$5:$B$304,"&lt;&gt;")</f>
        <v>0</v>
      </c>
    </row>
    <row r="13">
      <c r="A13" s="9" t="s">
        <v>57</v>
      </c>
      <c r="B13" s="9" t="s">
        <v>56</v>
      </c>
      <c r="C13" s="13">
        <f>COUNTIF('Menu Navigation - TC'!$A$4:$A$500,"&lt;&gt;")</f>
        <v>12</v>
      </c>
      <c r="D13" s="13">
        <f>COUNTIF('Menu Navigation - TC'!$B$4:$B$500,"Unit")</f>
        <v>7</v>
      </c>
      <c r="E13" s="13">
        <f>COUNTIF('Menu Navigation - TC'!$B$4:$B$500,"Integration")</f>
        <v>4</v>
      </c>
      <c r="F13" s="13">
        <f>COUNTIF('Menu Navigation - TC'!$B$4:$B$500,"System")</f>
        <v>0</v>
      </c>
      <c r="G13" s="13">
        <f>COUNTIF('Menu Navigation - TC'!$B$4:$B$500,"UAT")</f>
        <v>1</v>
      </c>
      <c r="H13" s="13">
        <f>COUNTIF('Menu Navigation - TC'!$K$4:$K$500,"Standard feature expectation; may expose an absent capability in the current demo.")+COUNTIF('Menu Navigation - TC'!$K$4:$K$500,"Standard login/security expectation; included even if not explicitly implemented.")</f>
        <v>0</v>
      </c>
      <c r="I13" s="13">
        <f>COUNTIF('Test Execution Log'!$C$5:$C$1004,"Menu &amp; Navigation")</f>
        <v>0</v>
      </c>
      <c r="J13" s="13">
        <f>COUNTIFS('Test Execution Log'!$C$5:$C$1004,"Menu &amp; Navigation",'Test Execution Log'!$G$5:$G$1004,"Passed")</f>
        <v>0</v>
      </c>
      <c r="K13" s="13">
        <f>COUNTIFS('Test Execution Log'!$C$5:$C$1004,"Menu &amp; Navigation",'Test Execution Log'!$G$5:$G$1004,"Failed")</f>
        <v>0</v>
      </c>
      <c r="L13" s="13">
        <f>COUNTIFS('Test Execution Log'!$C$5:$C$1004,"Menu &amp; Navigation",'Test Execution Log'!$G$5:$G$1004,"Blocked")</f>
        <v>0</v>
      </c>
      <c r="M13" s="13">
        <f>COUNTIFS('Defect Summary'!$C$5:$C$304,"Menu &amp; Navigation",'Defect Summary'!$H$5:$H$304,"&lt;&gt;Closed",'Defect Summary'!$B$5:$B$304,"&lt;&gt;")</f>
        <v>0</v>
      </c>
    </row>
    <row r="14">
      <c r="A14" s="9" t="s">
        <v>59</v>
      </c>
      <c r="B14" s="9" t="s">
        <v>58</v>
      </c>
      <c r="C14" s="13">
        <f>COUNTIF('Reset App State - TC'!$A$4:$A$500,"&lt;&gt;")</f>
        <v>8</v>
      </c>
      <c r="D14" s="13">
        <f>COUNTIF('Reset App State - TC'!$B$4:$B$500,"Unit")</f>
        <v>0</v>
      </c>
      <c r="E14" s="13">
        <f>COUNTIF('Reset App State - TC'!$B$4:$B$500,"Integration")</f>
        <v>0</v>
      </c>
      <c r="F14" s="13">
        <f>COUNTIF('Reset App State - TC'!$B$4:$B$500,"System")</f>
        <v>7</v>
      </c>
      <c r="G14" s="13">
        <f>COUNTIF('Reset App State - TC'!$B$4:$B$500,"UAT")</f>
        <v>1</v>
      </c>
      <c r="H14" s="13">
        <f>COUNTIF('Reset App State - TC'!$K$4:$K$500,"Standard feature expectation; may expose an absent capability in the current demo.")+COUNTIF('Reset App State - TC'!$K$4:$K$500,"Standard login/security expectation; included even if not explicitly implemented.")</f>
        <v>0</v>
      </c>
      <c r="I14" s="13">
        <f>COUNTIF('Test Execution Log'!$C$5:$C$1004,"Reset App State")</f>
        <v>0</v>
      </c>
      <c r="J14" s="13">
        <f>COUNTIFS('Test Execution Log'!$C$5:$C$1004,"Reset App State",'Test Execution Log'!$G$5:$G$1004,"Passed")</f>
        <v>0</v>
      </c>
      <c r="K14" s="13">
        <f>COUNTIFS('Test Execution Log'!$C$5:$C$1004,"Reset App State",'Test Execution Log'!$G$5:$G$1004,"Failed")</f>
        <v>0</v>
      </c>
      <c r="L14" s="13">
        <f>COUNTIFS('Test Execution Log'!$C$5:$C$1004,"Reset App State",'Test Execution Log'!$G$5:$G$1004,"Blocked")</f>
        <v>0</v>
      </c>
      <c r="M14" s="13">
        <f>COUNTIFS('Defect Summary'!$C$5:$C$304,"Reset App State",'Defect Summary'!$H$5:$H$304,"&lt;&gt;Closed",'Defect Summary'!$B$5:$B$304,"&lt;&gt;")</f>
        <v>0</v>
      </c>
    </row>
    <row r="15">
      <c r="A15" s="9" t="s">
        <v>61</v>
      </c>
      <c r="B15" s="9" t="s">
        <v>60</v>
      </c>
      <c r="C15" s="13">
        <f>COUNTIF('Access Session Control - TC'!$A$4:$A$500,"&lt;&gt;")</f>
        <v>12</v>
      </c>
      <c r="D15" s="13">
        <f>COUNTIF('Access Session Control - TC'!$B$4:$B$500,"Unit")</f>
        <v>0</v>
      </c>
      <c r="E15" s="13">
        <f>COUNTIF('Access Session Control - TC'!$B$4:$B$500,"Integration")</f>
        <v>3</v>
      </c>
      <c r="F15" s="13">
        <f>COUNTIF('Access Session Control - TC'!$B$4:$B$500,"System")</f>
        <v>9</v>
      </c>
      <c r="G15" s="13">
        <f>COUNTIF('Access Session Control - TC'!$B$4:$B$500,"UAT")</f>
        <v>0</v>
      </c>
      <c r="H15" s="13">
        <f>COUNTIF('Access Session Control - TC'!$K$4:$K$500,"Standard feature expectation; may expose an absent capability in the current demo.")+COUNTIF('Access Session Control - TC'!$K$4:$K$500,"Standard login/security expectation; included even if not explicitly implemented.")</f>
        <v>2</v>
      </c>
      <c r="I15" s="13">
        <f>COUNTIF('Test Execution Log'!$C$5:$C$1004,"Access &amp; Session Control")</f>
        <v>0</v>
      </c>
      <c r="J15" s="13">
        <f>COUNTIFS('Test Execution Log'!$C$5:$C$1004,"Access &amp; Session Control",'Test Execution Log'!$G$5:$G$1004,"Passed")</f>
        <v>0</v>
      </c>
      <c r="K15" s="13">
        <f>COUNTIFS('Test Execution Log'!$C$5:$C$1004,"Access &amp; Session Control",'Test Execution Log'!$G$5:$G$1004,"Failed")</f>
        <v>0</v>
      </c>
      <c r="L15" s="13">
        <f>COUNTIFS('Test Execution Log'!$C$5:$C$1004,"Access &amp; Session Control",'Test Execution Log'!$G$5:$G$1004,"Blocked")</f>
        <v>0</v>
      </c>
      <c r="M15" s="13">
        <f>COUNTIFS('Defect Summary'!$C$5:$C$304,"Access &amp; Session Control",'Defect Summary'!$H$5:$H$304,"&lt;&gt;Closed",'Defect Summary'!$B$5:$B$304,"&lt;&gt;")</f>
        <v>0</v>
      </c>
    </row>
    <row r="16">
      <c r="A16" s="9" t="s">
        <v>63</v>
      </c>
      <c r="B16" s="9" t="s">
        <v>62</v>
      </c>
      <c r="C16" s="13">
        <f>COUNTIF('Footer External Links - TC'!$A$4:$A$500,"&lt;&gt;")</f>
        <v>7</v>
      </c>
      <c r="D16" s="13">
        <f>COUNTIF('Footer External Links - TC'!$B$4:$B$500,"Unit")</f>
        <v>4</v>
      </c>
      <c r="E16" s="13">
        <f>COUNTIF('Footer External Links - TC'!$B$4:$B$500,"Integration")</f>
        <v>0</v>
      </c>
      <c r="F16" s="13">
        <f>COUNTIF('Footer External Links - TC'!$B$4:$B$500,"System")</f>
        <v>3</v>
      </c>
      <c r="G16" s="13">
        <f>COUNTIF('Footer External Links - TC'!$B$4:$B$500,"UAT")</f>
        <v>0</v>
      </c>
      <c r="H16" s="13">
        <f>COUNTIF('Footer External Links - TC'!$K$4:$K$500,"Standard feature expectation; may expose an absent capability in the current demo.")+COUNTIF('Footer External Links - TC'!$K$4:$K$500,"Standard login/security expectation; included even if not explicitly implemented.")</f>
        <v>0</v>
      </c>
      <c r="I16" s="13">
        <f>COUNTIF('Test Execution Log'!$C$5:$C$1004,"Footer &amp; External Links")</f>
        <v>0</v>
      </c>
      <c r="J16" s="13">
        <f>COUNTIFS('Test Execution Log'!$C$5:$C$1004,"Footer &amp; External Links",'Test Execution Log'!$G$5:$G$1004,"Passed")</f>
        <v>0</v>
      </c>
      <c r="K16" s="13">
        <f>COUNTIFS('Test Execution Log'!$C$5:$C$1004,"Footer &amp; External Links",'Test Execution Log'!$G$5:$G$1004,"Failed")</f>
        <v>0</v>
      </c>
      <c r="L16" s="13">
        <f>COUNTIFS('Test Execution Log'!$C$5:$C$1004,"Footer &amp; External Links",'Test Execution Log'!$G$5:$G$1004,"Blocked")</f>
        <v>0</v>
      </c>
      <c r="M16" s="13">
        <f>COUNTIFS('Defect Summary'!$C$5:$C$304,"Footer &amp; External Links",'Defect Summary'!$H$5:$H$304,"&lt;&gt;Closed",'Defect Summary'!$B$5:$B$304,"&lt;&gt;")</f>
        <v>0</v>
      </c>
    </row>
    <row r="17">
      <c r="A17" s="9" t="s">
        <v>65</v>
      </c>
      <c r="B17" s="9" t="s">
        <v>64</v>
      </c>
      <c r="C17" s="13">
        <f>COUNTIF('Interface Responsive - TC'!$A$4:$A$500,"&lt;&gt;")</f>
        <v>16</v>
      </c>
      <c r="D17" s="13">
        <f>COUNTIF('Interface Responsive - TC'!$B$4:$B$500,"Unit")</f>
        <v>1</v>
      </c>
      <c r="E17" s="13">
        <f>COUNTIF('Interface Responsive - TC'!$B$4:$B$500,"Integration")</f>
        <v>0</v>
      </c>
      <c r="F17" s="13">
        <f>COUNTIF('Interface Responsive - TC'!$B$4:$B$500,"System")</f>
        <v>14</v>
      </c>
      <c r="G17" s="13">
        <f>COUNTIF('Interface Responsive - TC'!$B$4:$B$500,"UAT")</f>
        <v>1</v>
      </c>
      <c r="H17" s="13">
        <f>COUNTIF('Interface Responsive - TC'!$K$4:$K$500,"Standard feature expectation; may expose an absent capability in the current demo.")+COUNTIF('Interface Responsive - TC'!$K$4:$K$500,"Standard login/security expectation; included even if not explicitly implemented.")</f>
        <v>0</v>
      </c>
      <c r="I17" s="13">
        <f>COUNTIF('Test Execution Log'!$C$5:$C$1004,"Interface / Responsive")</f>
        <v>0</v>
      </c>
      <c r="J17" s="13">
        <f>COUNTIFS('Test Execution Log'!$C$5:$C$1004,"Interface / Responsive",'Test Execution Log'!$G$5:$G$1004,"Passed")</f>
        <v>0</v>
      </c>
      <c r="K17" s="13">
        <f>COUNTIFS('Test Execution Log'!$C$5:$C$1004,"Interface / Responsive",'Test Execution Log'!$G$5:$G$1004,"Failed")</f>
        <v>0</v>
      </c>
      <c r="L17" s="13">
        <f>COUNTIFS('Test Execution Log'!$C$5:$C$1004,"Interface / Responsive",'Test Execution Log'!$G$5:$G$1004,"Blocked")</f>
        <v>0</v>
      </c>
      <c r="M17" s="13">
        <f>COUNTIFS('Defect Summary'!$C$5:$C$304,"Interface / Responsive",'Defect Summary'!$H$5:$H$304,"&lt;&gt;Closed",'Defect Summary'!$B$5:$B$304,"&lt;&gt;")</f>
        <v>0</v>
      </c>
    </row>
    <row r="18">
      <c r="A18" s="9" t="s">
        <v>67</v>
      </c>
      <c r="B18" s="9" t="s">
        <v>66</v>
      </c>
      <c r="C18" s="13">
        <f>COUNTIF('Core Workflows - TC'!$A$4:$A$500,"&lt;&gt;")</f>
        <v>15</v>
      </c>
      <c r="D18" s="13">
        <f>COUNTIF('Core Workflows - TC'!$B$4:$B$500,"Unit")</f>
        <v>0</v>
      </c>
      <c r="E18" s="13">
        <f>COUNTIF('Core Workflows - TC'!$B$4:$B$500,"Integration")</f>
        <v>6</v>
      </c>
      <c r="F18" s="13">
        <f>COUNTIF('Core Workflows - TC'!$B$4:$B$500,"System")</f>
        <v>7</v>
      </c>
      <c r="G18" s="13">
        <f>COUNTIF('Core Workflows - TC'!$B$4:$B$500,"UAT")</f>
        <v>2</v>
      </c>
      <c r="H18" s="13">
        <f>COUNTIF('Core Workflows - TC'!$K$4:$K$500,"Standard feature expectation; may expose an absent capability in the current demo.")+COUNTIF('Core Workflows - TC'!$K$4:$K$500,"Standard login/security expectation; included even if not explicitly implemented.")</f>
        <v>0</v>
      </c>
      <c r="I18" s="13">
        <f>COUNTIF('Test Execution Log'!$C$5:$C$1004,"Core Workflows")</f>
        <v>0</v>
      </c>
      <c r="J18" s="13">
        <f>COUNTIFS('Test Execution Log'!$C$5:$C$1004,"Core Workflows",'Test Execution Log'!$G$5:$G$1004,"Passed")</f>
        <v>0</v>
      </c>
      <c r="K18" s="13">
        <f>COUNTIFS('Test Execution Log'!$C$5:$C$1004,"Core Workflows",'Test Execution Log'!$G$5:$G$1004,"Failed")</f>
        <v>0</v>
      </c>
      <c r="L18" s="13">
        <f>COUNTIFS('Test Execution Log'!$C$5:$C$1004,"Core Workflows",'Test Execution Log'!$G$5:$G$1004,"Blocked")</f>
        <v>0</v>
      </c>
      <c r="M18" s="13">
        <f>COUNTIFS('Defect Summary'!$C$5:$C$304,"Core Workflows",'Defect Summary'!$H$5:$H$304,"&lt;&gt;Closed",'Defect Summary'!$B$5:$B$304,"&lt;&gt;")</f>
        <v>0</v>
      </c>
    </row>
    <row r="19">
      <c r="A19" s="8" t="s">
        <v>1186</v>
      </c>
      <c r="C19" s="14">
        <f t="shared" ref="C19:M19" si="1">SUM(C5:C18)</f>
        <v>239</v>
      </c>
      <c r="D19" s="14">
        <f t="shared" si="1"/>
        <v>92</v>
      </c>
      <c r="E19" s="14">
        <f t="shared" si="1"/>
        <v>26</v>
      </c>
      <c r="F19" s="14">
        <f t="shared" si="1"/>
        <v>106</v>
      </c>
      <c r="G19" s="14">
        <f t="shared" si="1"/>
        <v>15</v>
      </c>
      <c r="H19" s="14">
        <f t="shared" si="1"/>
        <v>17</v>
      </c>
      <c r="I19" s="14">
        <f t="shared" si="1"/>
        <v>0</v>
      </c>
      <c r="J19" s="14">
        <f t="shared" si="1"/>
        <v>0</v>
      </c>
      <c r="K19" s="14">
        <f t="shared" si="1"/>
        <v>0</v>
      </c>
      <c r="L19" s="14">
        <f t="shared" si="1"/>
        <v>0</v>
      </c>
      <c r="M19" s="1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19:B19"/>
  </mergeCells>
  <conditionalFormatting sqref="K5:K18">
    <cfRule type="expression" dxfId="5" priority="1">
      <formula>K5&gt;0</formula>
    </cfRule>
  </conditionalFormatting>
  <conditionalFormatting sqref="M5:M18">
    <cfRule type="expression" dxfId="2" priority="2">
      <formula>M5&gt;0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8.0"/>
    <col customWidth="1" min="3" max="4" width="56.0"/>
    <col customWidth="1" min="5" max="26" width="8.63"/>
  </cols>
  <sheetData>
    <row r="1">
      <c r="A1" s="10" t="s">
        <v>1187</v>
      </c>
    </row>
    <row r="2">
      <c r="A2" s="6" t="s">
        <v>1188</v>
      </c>
    </row>
    <row r="4">
      <c r="A4" s="11" t="s">
        <v>1189</v>
      </c>
      <c r="B4" s="11" t="s">
        <v>1190</v>
      </c>
      <c r="C4" s="11" t="s">
        <v>1191</v>
      </c>
      <c r="D4" s="11" t="s">
        <v>1192</v>
      </c>
    </row>
    <row r="5">
      <c r="A5" s="12" t="s">
        <v>1193</v>
      </c>
      <c r="B5" s="12" t="s">
        <v>1194</v>
      </c>
      <c r="C5" s="12" t="s">
        <v>1195</v>
      </c>
      <c r="D5" s="12" t="s">
        <v>1196</v>
      </c>
    </row>
    <row r="6">
      <c r="A6" s="12" t="s">
        <v>1197</v>
      </c>
      <c r="B6" s="12" t="s">
        <v>1198</v>
      </c>
      <c r="C6" s="12" t="s">
        <v>1199</v>
      </c>
      <c r="D6" s="12" t="s">
        <v>1200</v>
      </c>
    </row>
    <row r="7">
      <c r="A7" s="12" t="s">
        <v>1201</v>
      </c>
      <c r="B7" s="12" t="s">
        <v>1202</v>
      </c>
      <c r="C7" s="12" t="s">
        <v>1203</v>
      </c>
      <c r="D7" s="12" t="s">
        <v>1204</v>
      </c>
    </row>
    <row r="8">
      <c r="A8" s="12" t="s">
        <v>105</v>
      </c>
      <c r="B8" s="12" t="s">
        <v>1205</v>
      </c>
      <c r="C8" s="12" t="s">
        <v>1206</v>
      </c>
      <c r="D8" s="12" t="s">
        <v>1207</v>
      </c>
    </row>
    <row r="9">
      <c r="A9" s="12" t="s">
        <v>112</v>
      </c>
      <c r="B9" s="12" t="s">
        <v>1208</v>
      </c>
      <c r="C9" s="12" t="s">
        <v>1209</v>
      </c>
      <c r="D9" s="12" t="s">
        <v>1210</v>
      </c>
    </row>
    <row r="10">
      <c r="A10" s="12" t="s">
        <v>113</v>
      </c>
      <c r="B10" s="12" t="s">
        <v>1211</v>
      </c>
      <c r="C10" s="12" t="s">
        <v>1212</v>
      </c>
      <c r="D10" s="12" t="s">
        <v>1213</v>
      </c>
    </row>
    <row r="11">
      <c r="A11" s="12" t="s">
        <v>1150</v>
      </c>
      <c r="B11" s="12" t="s">
        <v>1214</v>
      </c>
      <c r="C11" s="12" t="s">
        <v>1215</v>
      </c>
      <c r="D11" s="12" t="s">
        <v>1216</v>
      </c>
    </row>
    <row r="12">
      <c r="A12" s="12" t="s">
        <v>11</v>
      </c>
      <c r="B12" s="12" t="s">
        <v>1217</v>
      </c>
      <c r="C12" s="12" t="s">
        <v>1218</v>
      </c>
      <c r="D12" s="12" t="s">
        <v>1219</v>
      </c>
    </row>
    <row r="13">
      <c r="A13" s="12" t="s">
        <v>1153</v>
      </c>
      <c r="B13" s="12" t="s">
        <v>1220</v>
      </c>
      <c r="C13" s="12" t="s">
        <v>1221</v>
      </c>
      <c r="D13" s="12" t="s">
        <v>1222</v>
      </c>
    </row>
    <row r="14">
      <c r="A14" s="12" t="s">
        <v>1154</v>
      </c>
      <c r="B14" s="12" t="s">
        <v>1223</v>
      </c>
      <c r="C14" s="12" t="s">
        <v>1224</v>
      </c>
      <c r="D14" s="12" t="s">
        <v>1225</v>
      </c>
    </row>
    <row r="15">
      <c r="A15" s="12" t="s">
        <v>24</v>
      </c>
      <c r="B15" s="12" t="s">
        <v>1226</v>
      </c>
      <c r="C15" s="12" t="s">
        <v>1227</v>
      </c>
      <c r="D15" s="12" t="s">
        <v>1228</v>
      </c>
    </row>
    <row r="16">
      <c r="A16" s="12" t="s">
        <v>1155</v>
      </c>
      <c r="B16" s="12" t="s">
        <v>1229</v>
      </c>
      <c r="C16" s="12" t="s">
        <v>1230</v>
      </c>
      <c r="D16" s="12" t="s">
        <v>1231</v>
      </c>
    </row>
    <row r="17">
      <c r="A17" s="12" t="s">
        <v>1156</v>
      </c>
      <c r="B17" s="12" t="s">
        <v>1232</v>
      </c>
      <c r="C17" s="12" t="s">
        <v>1233</v>
      </c>
      <c r="D17" s="12" t="s">
        <v>1234</v>
      </c>
    </row>
    <row r="18">
      <c r="A18" s="12" t="s">
        <v>1235</v>
      </c>
      <c r="B18" s="12" t="s">
        <v>1236</v>
      </c>
      <c r="C18" s="12" t="s">
        <v>1237</v>
      </c>
      <c r="D18" s="12" t="s">
        <v>1238</v>
      </c>
    </row>
    <row r="19">
      <c r="A19" s="12" t="s">
        <v>1239</v>
      </c>
      <c r="B19" s="12" t="s">
        <v>1240</v>
      </c>
      <c r="C19" s="12" t="s">
        <v>1241</v>
      </c>
      <c r="D19" s="12" t="s">
        <v>1242</v>
      </c>
    </row>
    <row r="20">
      <c r="A20" s="12" t="s">
        <v>115</v>
      </c>
      <c r="B20" s="12" t="s">
        <v>1243</v>
      </c>
      <c r="C20" s="12" t="s">
        <v>1244</v>
      </c>
      <c r="D20" s="12" t="s">
        <v>1245</v>
      </c>
    </row>
    <row r="21" ht="15.75" customHeight="1"/>
    <row r="22" ht="15.75" customHeight="1">
      <c r="A22" s="7" t="s">
        <v>1246</v>
      </c>
    </row>
    <row r="23" ht="15.75" customHeight="1">
      <c r="A23" s="11" t="s">
        <v>1153</v>
      </c>
      <c r="B23" s="11" t="s">
        <v>1247</v>
      </c>
      <c r="C23" s="11" t="s">
        <v>1248</v>
      </c>
      <c r="D23" s="11" t="s">
        <v>72</v>
      </c>
    </row>
    <row r="24" ht="15.75" customHeight="1">
      <c r="A24" s="3" t="s">
        <v>132</v>
      </c>
      <c r="B24" s="3" t="s">
        <v>1249</v>
      </c>
      <c r="C24" s="3" t="s">
        <v>1250</v>
      </c>
      <c r="D24" s="3" t="s">
        <v>1251</v>
      </c>
    </row>
    <row r="25" ht="15.75" customHeight="1">
      <c r="A25" s="3" t="s">
        <v>217</v>
      </c>
      <c r="B25" s="3" t="s">
        <v>1252</v>
      </c>
      <c r="C25" s="3" t="s">
        <v>1253</v>
      </c>
      <c r="D25" s="3" t="s">
        <v>1254</v>
      </c>
    </row>
    <row r="26" ht="15.75" customHeight="1">
      <c r="A26" s="3" t="s">
        <v>223</v>
      </c>
      <c r="B26" s="3" t="s">
        <v>1255</v>
      </c>
      <c r="C26" s="3" t="s">
        <v>1256</v>
      </c>
      <c r="D26" s="3" t="s">
        <v>1257</v>
      </c>
    </row>
    <row r="27" ht="15.75" customHeight="1">
      <c r="A27" s="3" t="s">
        <v>228</v>
      </c>
      <c r="B27" s="3" t="s">
        <v>1258</v>
      </c>
      <c r="C27" s="3" t="s">
        <v>1259</v>
      </c>
      <c r="D27" s="3" t="s">
        <v>1260</v>
      </c>
    </row>
    <row r="28" ht="15.75" customHeight="1">
      <c r="A28" s="3" t="s">
        <v>233</v>
      </c>
      <c r="B28" s="3" t="s">
        <v>1261</v>
      </c>
      <c r="C28" s="3" t="s">
        <v>1262</v>
      </c>
      <c r="D28" s="3" t="s">
        <v>1263</v>
      </c>
    </row>
    <row r="29" ht="15.75" customHeight="1">
      <c r="A29" s="3" t="s">
        <v>238</v>
      </c>
      <c r="B29" s="3" t="s">
        <v>1264</v>
      </c>
      <c r="C29" s="3" t="s">
        <v>1265</v>
      </c>
      <c r="D29" s="3" t="s">
        <v>1266</v>
      </c>
    </row>
    <row r="30" ht="15.75" customHeight="1">
      <c r="A30" s="3" t="s">
        <v>302</v>
      </c>
      <c r="B30" s="3" t="s">
        <v>1267</v>
      </c>
      <c r="C30" s="3" t="s">
        <v>1268</v>
      </c>
      <c r="D30" s="3" t="s">
        <v>1269</v>
      </c>
    </row>
    <row r="31" ht="15.75" customHeight="1">
      <c r="A31" s="3" t="s">
        <v>119</v>
      </c>
      <c r="B31" s="3" t="s">
        <v>1270</v>
      </c>
      <c r="C31" s="3" t="s">
        <v>1271</v>
      </c>
      <c r="D31" s="3" t="s">
        <v>1272</v>
      </c>
    </row>
    <row r="32" ht="15.75" customHeight="1"/>
    <row r="33" ht="15.75" customHeight="1">
      <c r="A33" s="7" t="s">
        <v>1273</v>
      </c>
    </row>
    <row r="34" ht="15.75" customHeight="1">
      <c r="A34" s="11" t="s">
        <v>1274</v>
      </c>
      <c r="B34" s="11" t="s">
        <v>1275</v>
      </c>
      <c r="C34" s="11" t="s">
        <v>1248</v>
      </c>
      <c r="D34" s="11" t="s">
        <v>1276</v>
      </c>
    </row>
    <row r="35" ht="15.75" customHeight="1">
      <c r="A35" s="3" t="s">
        <v>122</v>
      </c>
      <c r="B35" s="3" t="s">
        <v>1277</v>
      </c>
      <c r="C35" s="3" t="s">
        <v>1278</v>
      </c>
      <c r="D35" s="3" t="s">
        <v>1279</v>
      </c>
    </row>
    <row r="36" ht="15.75" customHeight="1">
      <c r="A36" s="3" t="s">
        <v>180</v>
      </c>
      <c r="B36" s="3" t="s">
        <v>1280</v>
      </c>
      <c r="C36" s="3" t="s">
        <v>1281</v>
      </c>
      <c r="D36" s="3" t="s">
        <v>1282</v>
      </c>
    </row>
    <row r="37" ht="15.75" customHeight="1">
      <c r="A37" s="3" t="s">
        <v>1026</v>
      </c>
      <c r="B37" s="3" t="s">
        <v>1283</v>
      </c>
      <c r="C37" s="3" t="s">
        <v>1284</v>
      </c>
      <c r="D37" s="3" t="s">
        <v>1285</v>
      </c>
    </row>
    <row r="38" ht="15.75" customHeight="1">
      <c r="A38" s="3" t="s">
        <v>1286</v>
      </c>
      <c r="B38" s="3" t="s">
        <v>1287</v>
      </c>
      <c r="C38" s="3" t="s">
        <v>1288</v>
      </c>
      <c r="D38" s="3" t="s">
        <v>1289</v>
      </c>
    </row>
    <row r="39" ht="15.75" customHeight="1">
      <c r="A39" s="3" t="s">
        <v>119</v>
      </c>
      <c r="B39" s="3" t="s">
        <v>1290</v>
      </c>
      <c r="C39" s="3" t="s">
        <v>1291</v>
      </c>
      <c r="D39" s="3" t="s">
        <v>1292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22:D22"/>
    <mergeCell ref="A33:D33"/>
  </mergeCells>
  <printOptions/>
  <pageMargins bottom="0.75" footer="0.0" header="0.0" left="0.7" right="0.7" top="0.75"/>
  <pageSetup orientation="landscape"/>
  <drawing r:id="rId1"/>
</worksheet>
</file>